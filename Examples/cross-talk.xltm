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VBA\"/>
    </mc:Choice>
  </mc:AlternateContent>
  <bookViews>
    <workbookView xWindow="0" yWindow="0" windowWidth="28800" windowHeight="12210" xr2:uid="{5EE62CD3-A2FC-4FA0-B190-7C3E0E218758}"/>
  </bookViews>
  <sheets>
    <sheet name="Template" sheetId="1" r:id="rId1"/>
    <sheet name="Attenaution table" sheetId="2" r:id="rId2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7" i="1"/>
  <c r="D25" i="1" s="1"/>
  <c r="E25" i="1" l="1"/>
  <c r="F25" i="1"/>
  <c r="G25" i="1"/>
  <c r="H25" i="1"/>
  <c r="I25" i="1"/>
  <c r="J25" i="1"/>
  <c r="K25" i="1"/>
  <c r="C4" i="1" l="1"/>
  <c r="K21" i="1"/>
  <c r="F21" i="1"/>
  <c r="J21" i="1"/>
  <c r="H21" i="1"/>
  <c r="E21" i="1"/>
  <c r="I21" i="1"/>
  <c r="G21" i="1"/>
  <c r="C22" i="1" l="1"/>
  <c r="F26" i="1"/>
  <c r="G26" i="1"/>
  <c r="H26" i="1"/>
  <c r="E26" i="1"/>
  <c r="I26" i="1"/>
  <c r="J26" i="1"/>
  <c r="K26" i="1"/>
  <c r="D26" i="1"/>
  <c r="D21" i="1"/>
  <c r="F31" i="1"/>
  <c r="I31" i="1"/>
  <c r="E31" i="1"/>
  <c r="G31" i="1"/>
  <c r="K31" i="1"/>
  <c r="H31" i="1"/>
  <c r="J31" i="1"/>
  <c r="D31" i="1"/>
  <c r="D28" i="1"/>
  <c r="G30" i="1"/>
  <c r="I30" i="1"/>
  <c r="F30" i="1"/>
  <c r="E30" i="1"/>
  <c r="H30" i="1"/>
  <c r="J30" i="1"/>
  <c r="K30" i="1"/>
  <c r="D30" i="1"/>
  <c r="G29" i="1"/>
  <c r="I29" i="1"/>
  <c r="J29" i="1"/>
  <c r="E29" i="1"/>
  <c r="F29" i="1"/>
  <c r="H29" i="1"/>
  <c r="K29" i="1"/>
  <c r="D29" i="1"/>
  <c r="F35" i="1" l="1"/>
  <c r="J24" i="1"/>
  <c r="E24" i="1"/>
  <c r="I24" i="1"/>
  <c r="H24" i="1"/>
  <c r="G24" i="1"/>
  <c r="K24" i="1"/>
  <c r="F24" i="1"/>
  <c r="D24" i="1"/>
  <c r="D35" i="1" s="1"/>
  <c r="F28" i="1"/>
  <c r="G28" i="1"/>
  <c r="I28" i="1"/>
  <c r="E28" i="1"/>
  <c r="K28" i="1"/>
  <c r="H28" i="1"/>
  <c r="J28" i="1"/>
  <c r="K35" i="1" l="1"/>
  <c r="G35" i="1"/>
  <c r="H35" i="1"/>
  <c r="I35" i="1"/>
  <c r="E35" i="1"/>
  <c r="J35" i="1"/>
  <c r="C36" i="1"/>
</calcChain>
</file>

<file path=xl/sharedStrings.xml><?xml version="1.0" encoding="utf-8"?>
<sst xmlns="http://schemas.openxmlformats.org/spreadsheetml/2006/main" count="111" uniqueCount="92">
  <si>
    <t>S, room area, m2</t>
  </si>
  <si>
    <t>Output</t>
  </si>
  <si>
    <t>1k</t>
  </si>
  <si>
    <t>2k</t>
  </si>
  <si>
    <t xml:space="preserve"> L1 - L2</t>
  </si>
  <si>
    <t>Receiving room info</t>
  </si>
  <si>
    <t>Room constant</t>
  </si>
  <si>
    <t>Rc</t>
  </si>
  <si>
    <t>A</t>
  </si>
  <si>
    <t>Duct section</t>
  </si>
  <si>
    <t>Mean dimension, mm</t>
  </si>
  <si>
    <t>Attneuation dB/m</t>
  </si>
  <si>
    <t>4k</t>
  </si>
  <si>
    <t>8k</t>
  </si>
  <si>
    <t>&lt;=300</t>
  </si>
  <si>
    <t>300 - 450</t>
  </si>
  <si>
    <t>450 - 900</t>
  </si>
  <si>
    <t>Rectangular</t>
  </si>
  <si>
    <t>&gt;900</t>
  </si>
  <si>
    <t>Circular</t>
  </si>
  <si>
    <t>&lt; 900</t>
  </si>
  <si>
    <t>Length</t>
  </si>
  <si>
    <t>Length of duct, attenaution dB/m</t>
  </si>
  <si>
    <t>Duct bends</t>
  </si>
  <si>
    <t>Frequency  x width, kHz*mm</t>
  </si>
  <si>
    <t>&lt; 50</t>
  </si>
  <si>
    <t>50 - 100</t>
  </si>
  <si>
    <t>100 - 200</t>
  </si>
  <si>
    <t>200 - 400</t>
  </si>
  <si>
    <t>400 - 800</t>
  </si>
  <si>
    <t>&gt; 800</t>
  </si>
  <si>
    <t>Attenuation , dB</t>
  </si>
  <si>
    <t>Unlined</t>
  </si>
  <si>
    <t>Lined</t>
  </si>
  <si>
    <t>Square elbows without turning vanes</t>
  </si>
  <si>
    <t>Square elbows with  turning vanes</t>
  </si>
  <si>
    <t>&gt;400</t>
  </si>
  <si>
    <t>Round elbows</t>
  </si>
  <si>
    <t>&lt; 25</t>
  </si>
  <si>
    <t>25 - 50</t>
  </si>
  <si>
    <t>&gt; 100</t>
  </si>
  <si>
    <t>Attenuation, dB</t>
  </si>
  <si>
    <t>End reflection</t>
  </si>
  <si>
    <t>Branches</t>
  </si>
  <si>
    <t>Take-offs, branches</t>
  </si>
  <si>
    <t>ref. eq 4.5, Fig 4.34</t>
  </si>
  <si>
    <t>ref Tab 4.22, 4.23, 4.24</t>
  </si>
  <si>
    <t>ref Tab 4.19</t>
  </si>
  <si>
    <t>ref eq 4.6, 4.7, Tab 4.25</t>
  </si>
  <si>
    <t>Duct length, m</t>
  </si>
  <si>
    <t>Duct diameter or mean dim, mm</t>
  </si>
  <si>
    <t>Absorption coefficent suggested in CIBSE</t>
  </si>
  <si>
    <t>Live</t>
  </si>
  <si>
    <t>&gt;2</t>
  </si>
  <si>
    <t>Tmf</t>
  </si>
  <si>
    <t>around 1.5</t>
  </si>
  <si>
    <t>0.7 - 1</t>
  </si>
  <si>
    <t>around 0.5</t>
  </si>
  <si>
    <t>&lt; 0.3</t>
  </si>
  <si>
    <t>Medium-live</t>
  </si>
  <si>
    <t>Average</t>
  </si>
  <si>
    <t>Medium-dead</t>
  </si>
  <si>
    <t>Dead</t>
  </si>
  <si>
    <t>Number of bends</t>
  </si>
  <si>
    <t xml:space="preserve">Bends </t>
  </si>
  <si>
    <t>Directivity factor in receiving room</t>
  </si>
  <si>
    <t>Q</t>
  </si>
  <si>
    <t>Distance from duct opening to receivers, m</t>
  </si>
  <si>
    <t>Level increase due to duct location in source room</t>
  </si>
  <si>
    <t>Attenuator</t>
  </si>
  <si>
    <t xml:space="preserve"> - 10 lg C, dB</t>
  </si>
  <si>
    <t>noise level break into duct</t>
  </si>
  <si>
    <t>Due to opening loc in source room</t>
  </si>
  <si>
    <t xml:space="preserve"> - Correction, dB</t>
  </si>
  <si>
    <t>A, Attenuations, dB</t>
  </si>
  <si>
    <t>Dw(C;Ctr)</t>
  </si>
  <si>
    <t>C, Duct area to source room,m2</t>
  </si>
  <si>
    <t>A1, Duct area to receiving room, m2</t>
  </si>
  <si>
    <t>A2, Branch area to other rooms A2, m2</t>
  </si>
  <si>
    <t>Frequency, Hz</t>
  </si>
  <si>
    <t>Values</t>
  </si>
  <si>
    <t>Duct location</t>
  </si>
  <si>
    <t>Duct type</t>
  </si>
  <si>
    <t>source room, A, B, C</t>
  </si>
  <si>
    <t>Duct area</t>
  </si>
  <si>
    <t>Bend elbow type</t>
  </si>
  <si>
    <t>Squre, 1, round, 0</t>
  </si>
  <si>
    <t>Rectangular 1, circular 0</t>
  </si>
  <si>
    <t>receiving room, A, B, C</t>
  </si>
  <si>
    <r>
      <t>T</t>
    </r>
    <r>
      <rPr>
        <vertAlign val="subscript"/>
        <sz val="11"/>
        <color theme="1"/>
        <rFont val="Calibri"/>
        <family val="2"/>
        <scheme val="minor"/>
      </rPr>
      <t>mf</t>
    </r>
    <r>
      <rPr>
        <sz val="11"/>
        <color theme="1"/>
        <rFont val="Calibri"/>
        <family val="2"/>
        <scheme val="minor"/>
      </rPr>
      <t xml:space="preserve"> estimated, s</t>
    </r>
  </si>
  <si>
    <t xml:space="preserve"> - 10 lg (4/Rc + Q/4πr2), dB</t>
  </si>
  <si>
    <t>Insertion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</si>
</sst>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00"/>
    <numFmt numFmtId="167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21">
    <xf numFmtId="0" fontId="0" fillId="0" borderId="0" xfId="0"/>
    <xf numFmtId="2" fontId="0" fillId="0" borderId="0" xfId="0" applyNumberFormat="1"/>
    <xf numFmtId="167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3" fillId="2" borderId="0" xfId="1"/>
    <xf numFmtId="0" fontId="1" fillId="3" borderId="0" xfId="2"/>
    <xf numFmtId="167" fontId="1" fillId="3" borderId="0" xfId="2" applyNumberFormat="1" applyAlignment="1">
      <alignment horizontal="center" vertical="center"/>
    </xf>
    <xf numFmtId="0" fontId="1" fillId="3" borderId="0" xfId="2" applyAlignment="1">
      <alignment horizontal="center" vertical="center"/>
    </xf>
    <xf numFmtId="1" fontId="1" fillId="3" borderId="0" xfId="2" applyNumberFormat="1" applyAlignment="1">
      <alignment horizontal="center" vertical="center"/>
    </xf>
    <xf numFmtId="49" fontId="1" fillId="3" borderId="0" xfId="2" applyNumberFormat="1"/>
    <xf numFmtId="0" fontId="1" fillId="4" borderId="0" xfId="3"/>
    <xf numFmtId="0" fontId="2" fillId="0" borderId="0" xfId="0" applyFont="1"/>
    <xf numFmtId="0" fontId="5" fillId="0" borderId="0" xfId="0" applyFont="1" applyBorder="1" applyAlignment="1">
      <alignment horizontal="left" vertical="center"/>
    </xf>
    <xf numFmtId="0" fontId="1" fillId="3" borderId="1" xfId="2" applyBorder="1"/>
    <xf numFmtId="167" fontId="1" fillId="3" borderId="1" xfId="2" applyNumberFormat="1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0" fontId="1" fillId="4" borderId="0" xfId="3" applyAlignment="1">
      <alignment horizontal="center"/>
    </xf>
    <xf numFmtId="166" fontId="1" fillId="4" borderId="0" xfId="3" applyNumberFormat="1" applyAlignment="1">
      <alignment horizontal="center"/>
    </xf>
  </cellXfs>
  <cellStyles count="4">
    <cellStyle name="20% - Accent5" xfId="2" builtinId="46"/>
    <cellStyle name="20% - Accent6" xfId="3" builtinId="50"/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371475</xdr:colOff>
      <xdr:row>1</xdr:row>
      <xdr:rowOff>57150</xdr:rowOff>
    </xdr:from>
    <xdr:to>
      <xdr:col>21</xdr:col>
      <xdr:colOff>390525</xdr:colOff>
      <xdr:row>33</xdr:row>
      <xdr:rowOff>171450</xdr:rowOff>
    </xdr:to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D346837E-B769-4958-9EF7-DBF9AA6C3D3C}"/>
            </a:ext>
          </a:extLst>
        </xdr:cNvPr>
        <xdr:cNvGrpSpPr/>
      </xdr:nvGrpSpPr>
      <xdr:grpSpPr>
        <a:xfrm>
          <a:off x="11458575" y="247650"/>
          <a:ext cx="5505450" cy="6257925"/>
          <a:chOff x="1950375" y="276225"/>
          <a:chExt cx="5486400" cy="4554675"/>
        </a:xfrm>
      </xdr:grpSpPr>
      <xdr:sp macro="" textlink="">
        <xdr:nvSpPr>
          <xdr:cNvPr id="3" name="Shape 3">
            <a:extLst>
              <a:ext uri="{FF2B5EF4-FFF2-40B4-BE49-F238E27FC236}">
                <a16:creationId xmlns:a16="http://schemas.microsoft.com/office/drawing/2014/main" id="{0996ECFA-E66F-4969-AA25-1D0D66977890}"/>
              </a:ext>
            </a:extLst>
          </xdr:cNvPr>
          <xdr:cNvSpPr/>
        </xdr:nvSpPr>
        <xdr:spPr>
          <a:xfrm>
            <a:off x="2000250" y="276225"/>
            <a:ext cx="2114400" cy="1857300"/>
          </a:xfrm>
          <a:prstGeom prst="rect">
            <a:avLst/>
          </a:prstGeom>
          <a:solidFill>
            <a:srgbClr val="CFE2F3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txBody>
          <a:bodyPr wrap="square" lIns="91425" tIns="91425" rIns="91425" bIns="91425" anchor="ctr" anchorCtr="0">
            <a:noAutofit/>
          </a:bodyPr>
          <a:lstStyle/>
          <a:p>
            <a:pPr marL="0" lvl="0" indent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4" name="Shape 4">
            <a:extLst>
              <a:ext uri="{FF2B5EF4-FFF2-40B4-BE49-F238E27FC236}">
                <a16:creationId xmlns:a16="http://schemas.microsoft.com/office/drawing/2014/main" id="{3CBA7ED4-2D63-4C5D-AEE6-716DFBB1C4F5}"/>
              </a:ext>
            </a:extLst>
          </xdr:cNvPr>
          <xdr:cNvSpPr/>
        </xdr:nvSpPr>
        <xdr:spPr>
          <a:xfrm>
            <a:off x="4219575" y="276225"/>
            <a:ext cx="2428800" cy="1857300"/>
          </a:xfrm>
          <a:prstGeom prst="rect">
            <a:avLst/>
          </a:prstGeom>
          <a:solidFill>
            <a:srgbClr val="CFE2F3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txBody>
          <a:bodyPr wrap="square" lIns="91425" tIns="91425" rIns="91425" bIns="91425" anchor="ctr" anchorCtr="0">
            <a:noAutofit/>
          </a:bodyPr>
          <a:lstStyle/>
          <a:p>
            <a:pPr marL="0" lvl="0" indent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5" name="Shape 5">
            <a:extLst>
              <a:ext uri="{FF2B5EF4-FFF2-40B4-BE49-F238E27FC236}">
                <a16:creationId xmlns:a16="http://schemas.microsoft.com/office/drawing/2014/main" id="{4D354165-7051-4C12-A497-CF790B6C4A7C}"/>
              </a:ext>
            </a:extLst>
          </xdr:cNvPr>
          <xdr:cNvSpPr/>
        </xdr:nvSpPr>
        <xdr:spPr>
          <a:xfrm>
            <a:off x="3781425" y="1009650"/>
            <a:ext cx="743100" cy="438000"/>
          </a:xfrm>
          <a:prstGeom prst="rect">
            <a:avLst/>
          </a:prstGeom>
          <a:solidFill>
            <a:srgbClr val="FF99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txBody>
          <a:bodyPr wrap="square" lIns="91425" tIns="91425" rIns="91425" bIns="91425" anchor="ctr" anchorCtr="0">
            <a:noAutofit/>
          </a:bodyPr>
          <a:lstStyle/>
          <a:p>
            <a:pPr marL="0" lvl="0" indent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" name="Shape 6">
            <a:extLst>
              <a:ext uri="{FF2B5EF4-FFF2-40B4-BE49-F238E27FC236}">
                <a16:creationId xmlns:a16="http://schemas.microsoft.com/office/drawing/2014/main" id="{3576FC98-87C2-419E-9902-3570A39C1334}"/>
              </a:ext>
            </a:extLst>
          </xdr:cNvPr>
          <xdr:cNvSpPr txBox="1"/>
        </xdr:nvSpPr>
        <xdr:spPr>
          <a:xfrm>
            <a:off x="2140650" y="1557450"/>
            <a:ext cx="1833600" cy="438000"/>
          </a:xfrm>
          <a:prstGeom prst="rect">
            <a:avLst/>
          </a:prstGeom>
          <a:noFill/>
          <a:ln>
            <a:noFill/>
          </a:ln>
        </xdr:spPr>
        <xdr:txBody>
          <a:bodyPr wrap="square" lIns="91425" tIns="91425" rIns="91425" bIns="91425" anchor="t" anchorCtr="0">
            <a:noAutofit/>
          </a:bodyPr>
          <a:lstStyle/>
          <a:p>
            <a:pPr marL="0" lvl="0" indent="0" algn="l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/>
              <a:t>L</a:t>
            </a:r>
            <a:r>
              <a:rPr lang="en-US" sz="1100" baseline="-25000"/>
              <a:t>2</a:t>
            </a:r>
            <a:r>
              <a:rPr lang="en-US" sz="1100"/>
              <a:t>: level in receiving room</a:t>
            </a:r>
            <a:endParaRPr sz="1100"/>
          </a:p>
        </xdr:txBody>
      </xdr:sp>
      <xdr:sp macro="" textlink="">
        <xdr:nvSpPr>
          <xdr:cNvPr id="7" name="Shape 7">
            <a:extLst>
              <a:ext uri="{FF2B5EF4-FFF2-40B4-BE49-F238E27FC236}">
                <a16:creationId xmlns:a16="http://schemas.microsoft.com/office/drawing/2014/main" id="{6C05BAB5-065C-4BCD-87E7-50A45FA9F27D}"/>
              </a:ext>
            </a:extLst>
          </xdr:cNvPr>
          <xdr:cNvSpPr txBox="1"/>
        </xdr:nvSpPr>
        <xdr:spPr>
          <a:xfrm>
            <a:off x="4586225" y="1557450"/>
            <a:ext cx="2333700" cy="438000"/>
          </a:xfrm>
          <a:prstGeom prst="rect">
            <a:avLst/>
          </a:prstGeom>
          <a:noFill/>
          <a:ln>
            <a:noFill/>
          </a:ln>
        </xdr:spPr>
        <xdr:txBody>
          <a:bodyPr wrap="square" lIns="91425" tIns="91425" rIns="91425" bIns="91425" anchor="t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/>
              <a:t>L</a:t>
            </a:r>
            <a:r>
              <a:rPr lang="en-US" sz="1100" baseline="-25000"/>
              <a:t>1</a:t>
            </a:r>
            <a:r>
              <a:rPr lang="en-US" sz="1100"/>
              <a:t>: level in source room</a:t>
            </a:r>
            <a:endParaRPr sz="1100"/>
          </a:p>
        </xdr:txBody>
      </xdr:sp>
      <xdr:sp macro="" textlink="">
        <xdr:nvSpPr>
          <xdr:cNvPr id="8" name="Shape 8">
            <a:extLst>
              <a:ext uri="{FF2B5EF4-FFF2-40B4-BE49-F238E27FC236}">
                <a16:creationId xmlns:a16="http://schemas.microsoft.com/office/drawing/2014/main" id="{AF7C9AD9-EF15-4BB3-A8CB-64A6275B8496}"/>
              </a:ext>
            </a:extLst>
          </xdr:cNvPr>
          <xdr:cNvSpPr txBox="1"/>
        </xdr:nvSpPr>
        <xdr:spPr>
          <a:xfrm>
            <a:off x="4786427" y="557100"/>
            <a:ext cx="1445400" cy="390600"/>
          </a:xfrm>
          <a:prstGeom prst="rect">
            <a:avLst/>
          </a:prstGeom>
          <a:noFill/>
          <a:ln>
            <a:noFill/>
          </a:ln>
        </xdr:spPr>
        <xdr:txBody>
          <a:bodyPr wrap="square" lIns="91425" tIns="91425" rIns="91425" bIns="91425" anchor="t" anchorCtr="0">
            <a:noAutofit/>
          </a:bodyPr>
          <a:lstStyle/>
          <a:p>
            <a:pPr marL="0" lvl="0" indent="0" algn="l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>
                <a:solidFill>
                  <a:srgbClr val="0000FF"/>
                </a:solidFill>
              </a:rPr>
              <a:t>C: section area</a:t>
            </a:r>
            <a:endParaRPr sz="1100">
              <a:solidFill>
                <a:srgbClr val="0000FF"/>
              </a:solidFill>
            </a:endParaRPr>
          </a:p>
        </xdr:txBody>
      </xdr:sp>
      <xdr:cxnSp macro="">
        <xdr:nvCxnSpPr>
          <xdr:cNvPr id="9" name="Shape 9">
            <a:extLst>
              <a:ext uri="{FF2B5EF4-FFF2-40B4-BE49-F238E27FC236}">
                <a16:creationId xmlns:a16="http://schemas.microsoft.com/office/drawing/2014/main" id="{0840ACE3-A935-4C74-84CF-CF30138EBC27}"/>
              </a:ext>
            </a:extLst>
          </xdr:cNvPr>
          <xdr:cNvCxnSpPr>
            <a:endCxn id="18" idx="3"/>
          </xdr:cNvCxnSpPr>
        </xdr:nvCxnSpPr>
        <xdr:spPr>
          <a:xfrm flipH="1">
            <a:off x="4600725" y="1038075"/>
            <a:ext cx="185700" cy="18600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round/>
            <a:headEnd type="none" w="lg" len="lg"/>
            <a:tailEnd type="triangle" w="lg" len="lg"/>
          </a:ln>
        </xdr:spPr>
      </xdr:cxnSp>
      <xdr:cxnSp macro="">
        <xdr:nvCxnSpPr>
          <xdr:cNvPr id="10" name="Shape 11">
            <a:extLst>
              <a:ext uri="{FF2B5EF4-FFF2-40B4-BE49-F238E27FC236}">
                <a16:creationId xmlns:a16="http://schemas.microsoft.com/office/drawing/2014/main" id="{0CA85360-3FCC-444C-A2CB-02AC057F71C1}"/>
              </a:ext>
            </a:extLst>
          </xdr:cNvPr>
          <xdr:cNvCxnSpPr>
            <a:endCxn id="18" idx="3"/>
          </xdr:cNvCxnSpPr>
        </xdr:nvCxnSpPr>
        <xdr:spPr>
          <a:xfrm rot="10800000">
            <a:off x="4600725" y="1224075"/>
            <a:ext cx="156900" cy="22380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round/>
            <a:headEnd type="none" w="lg" len="lg"/>
            <a:tailEnd type="triangle" w="lg" len="lg"/>
          </a:ln>
        </xdr:spPr>
      </xdr:cxnSp>
      <xdr:cxnSp macro="">
        <xdr:nvCxnSpPr>
          <xdr:cNvPr id="11" name="Shape 12">
            <a:extLst>
              <a:ext uri="{FF2B5EF4-FFF2-40B4-BE49-F238E27FC236}">
                <a16:creationId xmlns:a16="http://schemas.microsoft.com/office/drawing/2014/main" id="{2BA25AD0-8548-402A-BC5D-47B13BB32ADD}"/>
              </a:ext>
            </a:extLst>
          </xdr:cNvPr>
          <xdr:cNvCxnSpPr>
            <a:endCxn id="18" idx="3"/>
          </xdr:cNvCxnSpPr>
        </xdr:nvCxnSpPr>
        <xdr:spPr>
          <a:xfrm rot="10800000">
            <a:off x="4600725" y="1224075"/>
            <a:ext cx="485700" cy="2130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round/>
            <a:headEnd type="none" w="lg" len="lg"/>
            <a:tailEnd type="triangle" w="lg" len="lg"/>
          </a:ln>
        </xdr:spPr>
      </xdr:cxnSp>
      <xdr:cxnSp macro="">
        <xdr:nvCxnSpPr>
          <xdr:cNvPr id="12" name="Shape 13">
            <a:extLst>
              <a:ext uri="{FF2B5EF4-FFF2-40B4-BE49-F238E27FC236}">
                <a16:creationId xmlns:a16="http://schemas.microsoft.com/office/drawing/2014/main" id="{DC13E6E4-F31B-4F65-93C0-7D7FDE8A1AEB}"/>
              </a:ext>
            </a:extLst>
          </xdr:cNvPr>
          <xdr:cNvCxnSpPr>
            <a:stCxn id="5" idx="1"/>
          </xdr:cNvCxnSpPr>
        </xdr:nvCxnSpPr>
        <xdr:spPr>
          <a:xfrm rot="10800000">
            <a:off x="3452925" y="1009650"/>
            <a:ext cx="328500" cy="21900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round/>
            <a:headEnd type="none" w="lg" len="lg"/>
            <a:tailEnd type="triangle" w="lg" len="lg"/>
          </a:ln>
        </xdr:spPr>
      </xdr:cxnSp>
      <xdr:cxnSp macro="">
        <xdr:nvCxnSpPr>
          <xdr:cNvPr id="13" name="Shape 14">
            <a:extLst>
              <a:ext uri="{FF2B5EF4-FFF2-40B4-BE49-F238E27FC236}">
                <a16:creationId xmlns:a16="http://schemas.microsoft.com/office/drawing/2014/main" id="{A87205F6-0420-4E7E-B9A8-AC6F20869EF3}"/>
              </a:ext>
            </a:extLst>
          </xdr:cNvPr>
          <xdr:cNvCxnSpPr>
            <a:stCxn id="5" idx="1"/>
          </xdr:cNvCxnSpPr>
        </xdr:nvCxnSpPr>
        <xdr:spPr>
          <a:xfrm flipH="1">
            <a:off x="3491025" y="1228650"/>
            <a:ext cx="290400" cy="25740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round/>
            <a:headEnd type="none" w="lg" len="lg"/>
            <a:tailEnd type="triangle" w="lg" len="lg"/>
          </a:ln>
        </xdr:spPr>
      </xdr:cxnSp>
      <xdr:cxnSp macro="">
        <xdr:nvCxnSpPr>
          <xdr:cNvPr id="14" name="Shape 15">
            <a:extLst>
              <a:ext uri="{FF2B5EF4-FFF2-40B4-BE49-F238E27FC236}">
                <a16:creationId xmlns:a16="http://schemas.microsoft.com/office/drawing/2014/main" id="{37B42FFC-E4EC-463C-9518-2B6E946335ED}"/>
              </a:ext>
            </a:extLst>
          </xdr:cNvPr>
          <xdr:cNvCxnSpPr>
            <a:stCxn id="5" idx="1"/>
          </xdr:cNvCxnSpPr>
        </xdr:nvCxnSpPr>
        <xdr:spPr>
          <a:xfrm flipH="1">
            <a:off x="3414825" y="1228650"/>
            <a:ext cx="366600" cy="2880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round/>
            <a:headEnd type="none" w="lg" len="lg"/>
            <a:tailEnd type="triangle" w="lg" len="lg"/>
          </a:ln>
        </xdr:spPr>
      </xdr:cxnSp>
      <xdr:sp macro="" textlink="">
        <xdr:nvSpPr>
          <xdr:cNvPr id="15" name="Shape 16">
            <a:extLst>
              <a:ext uri="{FF2B5EF4-FFF2-40B4-BE49-F238E27FC236}">
                <a16:creationId xmlns:a16="http://schemas.microsoft.com/office/drawing/2014/main" id="{629D68D0-C438-4B62-8809-0303326CFF25}"/>
              </a:ext>
            </a:extLst>
          </xdr:cNvPr>
          <xdr:cNvSpPr txBox="1"/>
        </xdr:nvSpPr>
        <xdr:spPr>
          <a:xfrm>
            <a:off x="1950375" y="2247900"/>
            <a:ext cx="5486400" cy="2583000"/>
          </a:xfrm>
          <a:prstGeom prst="rect">
            <a:avLst/>
          </a:prstGeom>
          <a:noFill/>
          <a:ln>
            <a:noFill/>
          </a:ln>
        </xdr:spPr>
        <xdr:txBody>
          <a:bodyPr wrap="square" lIns="91425" tIns="91425" rIns="91425" bIns="91425" anchor="t" anchorCtr="0">
            <a:noAutofit/>
          </a:bodyPr>
          <a:lstStyle/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 i="1"/>
              <a:t>L’</a:t>
            </a:r>
            <a:r>
              <a:rPr lang="en-US" sz="1100" i="1" baseline="-25000"/>
              <a:t>w</a:t>
            </a:r>
            <a:r>
              <a:rPr lang="en-US" sz="1100" i="1"/>
              <a:t>  </a:t>
            </a:r>
            <a:r>
              <a:rPr lang="en-US" sz="1100"/>
              <a:t>is the sound power level at section B</a:t>
            </a:r>
            <a:endParaRPr sz="1100"/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 i="1"/>
              <a:t>L</a:t>
            </a:r>
            <a:r>
              <a:rPr lang="en-US" sz="1100" i="1" baseline="-25000"/>
              <a:t>2</a:t>
            </a:r>
            <a:r>
              <a:rPr lang="en-US" sz="1100" i="1"/>
              <a:t> = L’</a:t>
            </a:r>
            <a:r>
              <a:rPr lang="en-US" sz="1100" i="1" baseline="-25000"/>
              <a:t>w</a:t>
            </a:r>
            <a:r>
              <a:rPr lang="en-US" sz="1100" i="1"/>
              <a:t> + 10 </a:t>
            </a:r>
            <a:r>
              <a:rPr lang="en-US" sz="1100"/>
              <a:t>lg</a:t>
            </a:r>
            <a:r>
              <a:rPr lang="en-US" sz="1100" i="1"/>
              <a:t> (4/R</a:t>
            </a:r>
            <a:r>
              <a:rPr lang="en-US" sz="1100" i="1" baseline="-25000"/>
              <a:t>c </a:t>
            </a:r>
            <a:r>
              <a:rPr lang="en-US" sz="1100" i="1" baseline="0"/>
              <a:t>+ Q/4</a:t>
            </a:r>
            <a:r>
              <a:rPr lang="el-GR" sz="1100" i="1" baseline="0"/>
              <a:t>π</a:t>
            </a:r>
            <a:r>
              <a:rPr lang="en-GB" sz="1100" i="1" baseline="0"/>
              <a:t>r</a:t>
            </a:r>
            <a:r>
              <a:rPr lang="en-GB" sz="1100" i="1" baseline="30000"/>
              <a:t>2</a:t>
            </a:r>
            <a:r>
              <a:rPr lang="en-US" sz="1100" i="1"/>
              <a:t>), where R</a:t>
            </a:r>
            <a:r>
              <a:rPr lang="en-US" sz="1100" i="1" baseline="-25000"/>
              <a:t>c</a:t>
            </a:r>
            <a:r>
              <a:rPr lang="en-US" sz="1100" i="1"/>
              <a:t> = Sa / (1-a)</a:t>
            </a:r>
            <a:endParaRPr sz="1100" i="1"/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endParaRPr sz="1100" i="1"/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 i="1"/>
              <a:t>L</a:t>
            </a:r>
            <a:r>
              <a:rPr lang="en-US" sz="1100" i="1" baseline="-25000"/>
              <a:t>w</a:t>
            </a:r>
            <a:r>
              <a:rPr lang="en-US" sz="1100"/>
              <a:t> at section C: </a:t>
            </a:r>
            <a:r>
              <a:rPr lang="en-US" sz="1100" i="1"/>
              <a:t>L</a:t>
            </a:r>
            <a:r>
              <a:rPr lang="en-US" sz="1100" i="1" baseline="-25000"/>
              <a:t>w</a:t>
            </a:r>
            <a:r>
              <a:rPr lang="en-US" sz="1100"/>
              <a:t>  </a:t>
            </a:r>
            <a:r>
              <a:rPr lang="en-US" sz="1100" i="1"/>
              <a:t>= L</a:t>
            </a:r>
            <a:r>
              <a:rPr lang="en-US" sz="1100" i="1" baseline="-25000"/>
              <a:t>1</a:t>
            </a:r>
            <a:r>
              <a:rPr lang="en-US" sz="1100" i="1"/>
              <a:t> + 10 lg C + correction</a:t>
            </a:r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 i="1"/>
              <a:t>where</a:t>
            </a:r>
            <a:r>
              <a:rPr lang="en-US" sz="1100" i="1" baseline="0"/>
              <a:t> correction is due to the locaiton of the duct inlet in the source room</a:t>
            </a:r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endParaRPr sz="1100" i="1"/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 i="1"/>
              <a:t>L’</a:t>
            </a:r>
            <a:r>
              <a:rPr lang="en-US" sz="1100" i="1" baseline="-25000"/>
              <a:t>w</a:t>
            </a:r>
            <a:r>
              <a:rPr lang="en-US" sz="1100" i="1"/>
              <a:t> = L</a:t>
            </a:r>
            <a:r>
              <a:rPr lang="en-US" sz="1100" i="1" baseline="-25000"/>
              <a:t>w</a:t>
            </a:r>
            <a:r>
              <a:rPr lang="en-US" sz="1100" i="1"/>
              <a:t> - A; where A is total attenuation including 1) plain duct runs; 2) bends; 3) branches; 4) duct terminations; 5) insertion loss of attenuator. Where 1), 2), 3) and 4) can be determined by Woods or CIBSE guidance.</a:t>
            </a:r>
            <a:endParaRPr sz="1100" i="1"/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endParaRPr sz="1100" i="1"/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 i="1"/>
              <a:t>L</a:t>
            </a:r>
            <a:r>
              <a:rPr lang="en-US" sz="1100" i="1" baseline="-25000"/>
              <a:t>1</a:t>
            </a:r>
            <a:r>
              <a:rPr lang="en-US" sz="1100" i="1"/>
              <a:t> - L</a:t>
            </a:r>
            <a:r>
              <a:rPr lang="en-US" sz="1100" i="1" baseline="-25000"/>
              <a:t>2</a:t>
            </a:r>
            <a:r>
              <a:rPr lang="en-US" sz="1100" i="1"/>
              <a:t> = A - 10 lg C - 10 lg (4/R</a:t>
            </a:r>
            <a:r>
              <a:rPr lang="en-US" sz="1100" i="1" baseline="-25000"/>
              <a:t>c</a:t>
            </a:r>
            <a:r>
              <a:rPr lang="en-US" sz="1100" i="1" baseline="0"/>
              <a:t>+</a:t>
            </a:r>
            <a:r>
              <a:rPr lang="en-US" sz="1100" i="1" baseline="0">
                <a:effectLst/>
                <a:latin typeface="+mn-lt"/>
                <a:ea typeface="+mn-ea"/>
                <a:cs typeface="+mn-cs"/>
              </a:rPr>
              <a:t> Q/4</a:t>
            </a:r>
            <a:r>
              <a:rPr lang="el-GR" sz="1100" i="1" baseline="0">
                <a:effectLst/>
                <a:latin typeface="+mn-lt"/>
                <a:ea typeface="+mn-ea"/>
                <a:cs typeface="+mn-cs"/>
              </a:rPr>
              <a:t>π</a:t>
            </a:r>
            <a:r>
              <a:rPr lang="en-GB" sz="1100" i="1" baseline="0">
                <a:effectLst/>
                <a:latin typeface="+mn-lt"/>
                <a:ea typeface="+mn-ea"/>
                <a:cs typeface="+mn-cs"/>
              </a:rPr>
              <a:t>r</a:t>
            </a:r>
            <a:r>
              <a:rPr lang="en-GB" sz="1100" i="1" baseline="30000">
                <a:effectLst/>
                <a:latin typeface="+mn-lt"/>
                <a:ea typeface="+mn-ea"/>
                <a:cs typeface="+mn-cs"/>
              </a:rPr>
              <a:t>2</a:t>
            </a:r>
            <a:r>
              <a:rPr lang="en-US" sz="1100" i="1"/>
              <a:t>)-correction</a:t>
            </a:r>
            <a:endParaRPr sz="1100" i="1"/>
          </a:p>
          <a:p>
            <a:pPr marL="0" lvl="0" indent="0" algn="l" rtl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 i="1"/>
              <a:t>Based on the desired L1 - L2, determine the required insertion loss of the attenuator</a:t>
            </a:r>
            <a:endParaRPr sz="1400"/>
          </a:p>
        </xdr:txBody>
      </xdr:sp>
      <xdr:sp macro="" textlink="">
        <xdr:nvSpPr>
          <xdr:cNvPr id="16" name="Shape 17">
            <a:extLst>
              <a:ext uri="{FF2B5EF4-FFF2-40B4-BE49-F238E27FC236}">
                <a16:creationId xmlns:a16="http://schemas.microsoft.com/office/drawing/2014/main" id="{A205EC1A-5300-4C13-8C63-8FC9AD1B6C4E}"/>
              </a:ext>
            </a:extLst>
          </xdr:cNvPr>
          <xdr:cNvSpPr txBox="1"/>
        </xdr:nvSpPr>
        <xdr:spPr>
          <a:xfrm>
            <a:off x="2609852" y="557100"/>
            <a:ext cx="1445400" cy="390600"/>
          </a:xfrm>
          <a:prstGeom prst="rect">
            <a:avLst/>
          </a:prstGeom>
          <a:noFill/>
          <a:ln>
            <a:noFill/>
          </a:ln>
        </xdr:spPr>
        <xdr:txBody>
          <a:bodyPr wrap="square" lIns="91425" tIns="91425" rIns="91425" bIns="91425" anchor="t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100">
                <a:solidFill>
                  <a:srgbClr val="9900FF"/>
                </a:solidFill>
              </a:rPr>
              <a:t>B: section area</a:t>
            </a:r>
            <a:endParaRPr sz="1100">
              <a:solidFill>
                <a:srgbClr val="9900FF"/>
              </a:solidFill>
            </a:endParaRPr>
          </a:p>
        </xdr:txBody>
      </xdr:sp>
      <xdr:sp macro="" textlink="">
        <xdr:nvSpPr>
          <xdr:cNvPr id="17" name="Shape 18">
            <a:extLst>
              <a:ext uri="{FF2B5EF4-FFF2-40B4-BE49-F238E27FC236}">
                <a16:creationId xmlns:a16="http://schemas.microsoft.com/office/drawing/2014/main" id="{7098EFB1-B8F5-46C5-90B9-6D3AE1EEAC04}"/>
              </a:ext>
            </a:extLst>
          </xdr:cNvPr>
          <xdr:cNvSpPr/>
        </xdr:nvSpPr>
        <xdr:spPr>
          <a:xfrm>
            <a:off x="3762375" y="1095375"/>
            <a:ext cx="66600" cy="257400"/>
          </a:xfrm>
          <a:prstGeom prst="rect">
            <a:avLst/>
          </a:prstGeom>
          <a:solidFill>
            <a:srgbClr val="FF00FF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txBody>
          <a:bodyPr wrap="square" lIns="91425" tIns="91425" rIns="91425" bIns="91425" anchor="ctr" anchorCtr="0">
            <a:noAutofit/>
          </a:bodyPr>
          <a:lstStyle/>
          <a:p>
            <a:pPr marL="0" lvl="0" indent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18" name="Shape 10">
            <a:extLst>
              <a:ext uri="{FF2B5EF4-FFF2-40B4-BE49-F238E27FC236}">
                <a16:creationId xmlns:a16="http://schemas.microsoft.com/office/drawing/2014/main" id="{7D10E970-67B7-4C3C-ADAD-0C8D8DBBBC08}"/>
              </a:ext>
            </a:extLst>
          </xdr:cNvPr>
          <xdr:cNvSpPr/>
        </xdr:nvSpPr>
        <xdr:spPr>
          <a:xfrm>
            <a:off x="4524525" y="1095375"/>
            <a:ext cx="76200" cy="257400"/>
          </a:xfrm>
          <a:prstGeom prst="rect">
            <a:avLst/>
          </a:prstGeom>
          <a:solidFill>
            <a:srgbClr val="0000FF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txBody>
          <a:bodyPr wrap="square" lIns="91425" tIns="91425" rIns="91425" bIns="91425" anchor="ctr" anchorCtr="0">
            <a:noAutofit/>
          </a:bodyPr>
          <a:lstStyle/>
          <a:p>
            <a:pPr marL="0" lvl="0" indent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</xdr:grpSp>
    <xdr:clientData fLocksWithSheet="0"/>
  </xdr:twoCellAnchor>
  <xdr:twoCellAnchor editAs="oneCell">
    <xdr:from>
      <xdr:col>4</xdr:col>
      <xdr:colOff>194370</xdr:colOff>
      <xdr:row>2</xdr:row>
      <xdr:rowOff>171450</xdr:rowOff>
    </xdr:from>
    <xdr:to>
      <xdr:col>10</xdr:col>
      <xdr:colOff>261565</xdr:colOff>
      <xdr:row>13</xdr:row>
      <xdr:rowOff>66675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7713F93-CD05-4EDA-9A2C-C4D6AA572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8070" y="552450"/>
          <a:ext cx="3724795" cy="2028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457200</xdr:colOff>
      <xdr:row>11</xdr:row>
      <xdr:rowOff>123826</xdr:rowOff>
    </xdr:from>
    <xdr:to>
      <xdr:col>16</xdr:col>
      <xdr:colOff>485775</xdr:colOff>
      <xdr:row>21</xdr:row>
      <xdr:rowOff>68406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326CC6-28FE-4585-9033-9093FBEBB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123826"/>
          <a:ext cx="3076575" cy="1849580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304801</xdr:colOff>
      <xdr:row>22</xdr:row>
      <xdr:rowOff>161924</xdr:rowOff>
    </xdr:from>
    <xdr:to>
      <xdr:col>17</xdr:col>
      <xdr:colOff>293159</xdr:colOff>
      <xdr:row>40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B8F6F-0014-499C-9240-33F89F21B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1" y="2257424"/>
          <a:ext cx="3645958" cy="3381375"/>
        </a:xfrm>
        <a:prstGeom prst="rect">
          <a:avLst/>
        </a:prstGeom>
      </xdr:spPr>
    </xdr:pic>
    <xdr:clientData/>
  </xdr:twoCellAnchor>
  <xdr:twoCellAnchor editAs="oneCell">
    <xdr:from>
      <xdr:col>17</xdr:col>
      <xdr:colOff>485601</xdr:colOff>
      <xdr:row>22</xdr:row>
      <xdr:rowOff>190499</xdr:rowOff>
    </xdr:from>
    <xdr:to>
      <xdr:col>22</xdr:col>
      <xdr:colOff>308090</xdr:colOff>
      <xdr:row>34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105DBC-2A04-4322-AFB0-869ED2DEA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701" y="2285999"/>
          <a:ext cx="2870489" cy="2143126"/>
        </a:xfrm>
        <a:prstGeom prst="rect">
          <a:avLst/>
        </a:prstGeom>
      </xdr:spPr>
    </xdr:pic>
    <xdr:clientData/>
  </xdr:twoCellAnchor>
  <xdr:twoCellAnchor editAs="oneCell">
    <xdr:from>
      <xdr:col>22</xdr:col>
      <xdr:colOff>387238</xdr:colOff>
      <xdr:row>23</xdr:row>
      <xdr:rowOff>38099</xdr:rowOff>
    </xdr:from>
    <xdr:to>
      <xdr:col>26</xdr:col>
      <xdr:colOff>351131</xdr:colOff>
      <xdr:row>32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9A01958-8F84-4492-AC1A-E3577B488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284338" y="2324099"/>
          <a:ext cx="2402293" cy="1828801"/>
        </a:xfrm>
        <a:prstGeom prst="rect">
          <a:avLst/>
        </a:prstGeom>
      </xdr:spPr>
    </xdr:pic>
    <xdr:clientData/>
  </xdr:twoCellAnchor>
  <xdr:twoCellAnchor editAs="oneCell">
    <xdr:from>
      <xdr:col>11</xdr:col>
      <xdr:colOff>228601</xdr:colOff>
      <xdr:row>42</xdr:row>
      <xdr:rowOff>66675</xdr:rowOff>
    </xdr:from>
    <xdr:to>
      <xdr:col>17</xdr:col>
      <xdr:colOff>133350</xdr:colOff>
      <xdr:row>61</xdr:row>
      <xdr:rowOff>146537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6F8CAC7-274E-4181-BC52-B7C7DF380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610601" y="5972175"/>
          <a:ext cx="3562349" cy="3699362"/>
        </a:xfrm>
        <a:prstGeom prst="rect">
          <a:avLst/>
        </a:prstGeom>
      </xdr:spPr>
    </xdr:pic>
    <xdr:clientData/>
  </xdr:twoCellAnchor>
  <xdr:twoCellAnchor editAs="oneCell">
    <xdr:from>
      <xdr:col>17</xdr:col>
      <xdr:colOff>419100</xdr:colOff>
      <xdr:row>42</xdr:row>
      <xdr:rowOff>122367</xdr:rowOff>
    </xdr:from>
    <xdr:to>
      <xdr:col>24</xdr:col>
      <xdr:colOff>237324</xdr:colOff>
      <xdr:row>55</xdr:row>
      <xdr:rowOff>37631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68A5C0C-8B79-4759-939A-FC2A9E3EE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458700" y="6027867"/>
          <a:ext cx="4085424" cy="2391764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304800</xdr:colOff>
      <xdr:row>63</xdr:row>
      <xdr:rowOff>43690</xdr:rowOff>
    </xdr:from>
    <xdr:to>
      <xdr:col>18</xdr:col>
      <xdr:colOff>65859</xdr:colOff>
      <xdr:row>76</xdr:row>
      <xdr:rowOff>189969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4FC78F9-4558-4CBD-AE10-BBF0510B9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686800" y="9949690"/>
          <a:ext cx="4028259" cy="2622779"/>
        </a:xfrm>
        <a:prstGeom prst="rect">
          <a:avLst/>
        </a:prstGeom>
      </xdr:spPr>
    </xdr:pic>
    <xdr:clientData/>
  </xdr:twoCellAnchor>
  <xdr:twoCellAnchor editAs="oneCell">
    <xdr:from>
      <xdr:col>18</xdr:col>
      <xdr:colOff>386550</xdr:colOff>
      <xdr:row>63</xdr:row>
      <xdr:rowOff>142875</xdr:rowOff>
    </xdr:from>
    <xdr:to>
      <xdr:col>25</xdr:col>
      <xdr:colOff>123101</xdr:colOff>
      <xdr:row>81</xdr:row>
      <xdr:rowOff>18454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BC1385D-1794-46B3-ACF9-1ECA171E8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4400" y="10048875"/>
          <a:ext cx="4003751" cy="3304579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0</xdr:row>
      <xdr:rowOff>57150</xdr:rowOff>
    </xdr:from>
    <xdr:to>
      <xdr:col>20</xdr:col>
      <xdr:colOff>408537</xdr:colOff>
      <xdr:row>7</xdr:row>
      <xdr:rowOff>160428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2BAB522-3269-497F-8F19-4CF5D663A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287000" y="57150"/>
          <a:ext cx="5447262" cy="1436778"/>
        </a:xfrm>
        <a:prstGeom prst="rect">
          <a:avLst/>
        </a:prstGeom>
      </xdr:spPr>
    </xdr:pic>
    <xdr:clientData/>
  </xdr:twoCellAnchor>
  <xdr:twoCellAnchor editAs="oneCell">
    <xdr:from>
      <xdr:col>20</xdr:col>
      <xdr:colOff>342900</xdr:colOff>
      <xdr:row>0</xdr:row>
      <xdr:rowOff>85726</xdr:rowOff>
    </xdr:from>
    <xdr:to>
      <xdr:col>26</xdr:col>
      <xdr:colOff>75594</xdr:colOff>
      <xdr:row>17</xdr:row>
      <xdr:rowOff>24378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86472DD-EF88-4D05-A7F4-12F7DA929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668625" y="85726"/>
          <a:ext cx="3390294" cy="3177152"/>
        </a:xfrm>
        <a:prstGeom prst="rect">
          <a:avLst/>
        </a:prstGeom>
      </xdr:spPr>
    </xdr:pic>
    <xdr:clientData/>
  </xdr:twoCellAnchor>
  <xdr:twoCellAnchor editAs="oneCell">
    <xdr:from>
      <xdr:col>2</xdr:col>
      <xdr:colOff>990600</xdr:colOff>
      <xdr:row>74</xdr:row>
      <xdr:rowOff>38808</xdr:rowOff>
    </xdr:from>
    <xdr:to>
      <xdr:col>7</xdr:col>
      <xdr:colOff>656617</xdr:colOff>
      <xdr:row>96</xdr:row>
      <xdr:rowOff>170780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AAC3DCD-C96D-4B23-ACE5-2008D826D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48100" y="14135808"/>
          <a:ext cx="3923692" cy="43229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E88DC-6022-494F-83CB-3B8E1714EF17}">
  <sheetPr codeName="Sheet1"/>
  <dimension ref="A2:V52"/>
  <sheetViews>
    <sheetView tabSelected="1" workbookViewId="0">
      <selection activeCell="A2" sqref="A2"/>
    </sheetView>
  </sheetViews>
  <sheetFormatPr defaultRowHeight="15" x14ac:dyDescent="0.25"/>
  <cols>
    <col min="1" max="1" width="32.28515625" bestFit="1" customWidth="1"/>
    <col min="2" max="2" width="41.140625" bestFit="1" customWidth="1"/>
    <col min="3" max="3" width="11.85546875" style="5" customWidth="1"/>
    <col min="4" max="4" width="7.85546875" style="5" customWidth="1"/>
    <col min="5" max="12" width="9.140625" style="5"/>
  </cols>
  <sheetData>
    <row r="2" spans="1:13" x14ac:dyDescent="0.25">
      <c r="C2" s="5" t="s">
        <v>80</v>
      </c>
    </row>
    <row r="3" spans="1:13" ht="18" x14ac:dyDescent="0.35">
      <c r="A3" t="s">
        <v>5</v>
      </c>
      <c r="B3" t="s">
        <v>89</v>
      </c>
      <c r="C3" s="19">
        <v>0.5</v>
      </c>
      <c r="D3"/>
      <c r="E3"/>
      <c r="F3"/>
      <c r="G3"/>
      <c r="H3"/>
      <c r="I3"/>
      <c r="J3"/>
      <c r="K3"/>
      <c r="L3"/>
    </row>
    <row r="4" spans="1:13" x14ac:dyDescent="0.25">
      <c r="B4" t="s">
        <v>0</v>
      </c>
      <c r="C4" s="19">
        <f>4*5*2 + 4*3*2 + 5*3*2</f>
        <v>94</v>
      </c>
      <c r="D4"/>
      <c r="E4"/>
      <c r="F4"/>
      <c r="G4"/>
      <c r="H4"/>
      <c r="I4"/>
      <c r="J4"/>
      <c r="K4"/>
      <c r="L4"/>
      <c r="M4" s="5"/>
    </row>
    <row r="5" spans="1:13" x14ac:dyDescent="0.25">
      <c r="B5" t="s">
        <v>67</v>
      </c>
      <c r="C5" s="19">
        <v>2</v>
      </c>
      <c r="D5"/>
      <c r="E5"/>
      <c r="F5"/>
      <c r="G5"/>
      <c r="H5"/>
      <c r="I5"/>
      <c r="J5"/>
      <c r="K5"/>
      <c r="L5"/>
      <c r="M5" s="5"/>
    </row>
    <row r="6" spans="1:13" x14ac:dyDescent="0.25">
      <c r="C6" s="19"/>
      <c r="D6"/>
      <c r="E6"/>
      <c r="F6"/>
      <c r="G6"/>
      <c r="H6"/>
      <c r="I6"/>
      <c r="J6"/>
      <c r="K6"/>
      <c r="L6"/>
    </row>
    <row r="7" spans="1:13" x14ac:dyDescent="0.25">
      <c r="A7" t="s">
        <v>84</v>
      </c>
      <c r="B7" t="s">
        <v>76</v>
      </c>
      <c r="C7" s="20">
        <f>3.14*0.2^2</f>
        <v>0.12560000000000002</v>
      </c>
      <c r="D7"/>
      <c r="E7"/>
      <c r="F7"/>
      <c r="G7"/>
      <c r="H7"/>
      <c r="I7"/>
      <c r="J7"/>
      <c r="K7"/>
      <c r="L7"/>
    </row>
    <row r="8" spans="1:13" x14ac:dyDescent="0.25">
      <c r="B8" t="s">
        <v>77</v>
      </c>
      <c r="C8" s="20">
        <f>3.14*0.2^2</f>
        <v>0.12560000000000002</v>
      </c>
      <c r="D8"/>
      <c r="E8"/>
      <c r="F8"/>
      <c r="G8"/>
      <c r="H8"/>
      <c r="I8"/>
      <c r="J8"/>
      <c r="K8"/>
      <c r="L8"/>
    </row>
    <row r="9" spans="1:13" x14ac:dyDescent="0.25">
      <c r="B9" t="s">
        <v>78</v>
      </c>
      <c r="C9" s="19">
        <v>0</v>
      </c>
      <c r="D9"/>
      <c r="E9"/>
      <c r="F9"/>
      <c r="G9"/>
      <c r="H9"/>
      <c r="I9"/>
      <c r="J9"/>
      <c r="K9"/>
      <c r="L9"/>
    </row>
    <row r="10" spans="1:13" x14ac:dyDescent="0.25">
      <c r="A10" t="s">
        <v>81</v>
      </c>
      <c r="B10" t="s">
        <v>83</v>
      </c>
      <c r="C10" s="19" t="s">
        <v>8</v>
      </c>
      <c r="D10"/>
      <c r="E10"/>
      <c r="F10"/>
      <c r="G10"/>
      <c r="H10"/>
      <c r="I10"/>
      <c r="J10"/>
      <c r="K10"/>
      <c r="L10"/>
    </row>
    <row r="11" spans="1:13" x14ac:dyDescent="0.25">
      <c r="B11" t="s">
        <v>88</v>
      </c>
      <c r="C11" s="19" t="s">
        <v>8</v>
      </c>
      <c r="D11"/>
      <c r="E11"/>
      <c r="F11"/>
      <c r="G11"/>
      <c r="H11"/>
      <c r="I11"/>
      <c r="J11"/>
      <c r="K11"/>
      <c r="L11"/>
    </row>
    <row r="12" spans="1:13" x14ac:dyDescent="0.25">
      <c r="A12" t="s">
        <v>82</v>
      </c>
      <c r="B12" t="s">
        <v>87</v>
      </c>
      <c r="C12" s="19">
        <v>0</v>
      </c>
      <c r="D12"/>
      <c r="E12"/>
      <c r="F12"/>
      <c r="G12"/>
      <c r="H12"/>
      <c r="I12"/>
      <c r="J12"/>
      <c r="K12"/>
      <c r="L12"/>
    </row>
    <row r="13" spans="1:13" x14ac:dyDescent="0.25">
      <c r="B13" t="s">
        <v>49</v>
      </c>
      <c r="C13" s="19">
        <v>4</v>
      </c>
      <c r="D13"/>
      <c r="E13"/>
      <c r="F13"/>
      <c r="G13"/>
      <c r="H13"/>
      <c r="I13"/>
      <c r="J13"/>
      <c r="K13"/>
      <c r="L13"/>
    </row>
    <row r="14" spans="1:13" x14ac:dyDescent="0.25">
      <c r="B14" t="s">
        <v>50</v>
      </c>
      <c r="C14" s="19">
        <v>400</v>
      </c>
      <c r="D14"/>
      <c r="E14"/>
      <c r="F14"/>
      <c r="G14"/>
      <c r="H14"/>
      <c r="I14"/>
      <c r="J14"/>
      <c r="K14"/>
      <c r="L14"/>
    </row>
    <row r="15" spans="1:13" x14ac:dyDescent="0.25">
      <c r="B15" t="s">
        <v>63</v>
      </c>
      <c r="C15" s="19">
        <v>2</v>
      </c>
      <c r="D15"/>
      <c r="E15"/>
      <c r="F15"/>
      <c r="G15"/>
      <c r="H15"/>
      <c r="I15"/>
      <c r="J15"/>
      <c r="K15"/>
      <c r="L15"/>
    </row>
    <row r="16" spans="1:13" x14ac:dyDescent="0.25">
      <c r="A16" t="s">
        <v>85</v>
      </c>
      <c r="B16" t="s">
        <v>86</v>
      </c>
      <c r="C16" s="19">
        <v>0</v>
      </c>
      <c r="D16"/>
      <c r="E16"/>
      <c r="F16"/>
      <c r="G16"/>
      <c r="H16"/>
      <c r="I16"/>
      <c r="J16"/>
      <c r="K16"/>
      <c r="L16"/>
    </row>
    <row r="17" spans="1:12" x14ac:dyDescent="0.25">
      <c r="C17"/>
      <c r="D17">
        <v>63</v>
      </c>
      <c r="E17">
        <v>125</v>
      </c>
      <c r="F17">
        <v>250</v>
      </c>
      <c r="G17">
        <v>500</v>
      </c>
      <c r="H17">
        <v>1000</v>
      </c>
      <c r="I17">
        <v>2000</v>
      </c>
      <c r="J17">
        <v>4000</v>
      </c>
      <c r="K17">
        <v>8000</v>
      </c>
      <c r="L17"/>
    </row>
    <row r="18" spans="1:12" x14ac:dyDescent="0.25">
      <c r="A18" t="s">
        <v>69</v>
      </c>
      <c r="B18" t="s">
        <v>91</v>
      </c>
      <c r="C18"/>
      <c r="D18" s="13"/>
      <c r="E18" s="13">
        <v>5</v>
      </c>
      <c r="F18" s="13">
        <v>7</v>
      </c>
      <c r="G18" s="13">
        <v>15</v>
      </c>
      <c r="H18" s="13">
        <v>25</v>
      </c>
      <c r="I18" s="13">
        <v>25</v>
      </c>
      <c r="J18" s="13"/>
      <c r="K18" s="13"/>
      <c r="L18"/>
    </row>
    <row r="19" spans="1:12" x14ac:dyDescent="0.25">
      <c r="C19" s="6"/>
    </row>
    <row r="20" spans="1:12" ht="15.75" thickBot="1" x14ac:dyDescent="0.3">
      <c r="A20" s="16"/>
      <c r="B20" s="16" t="s">
        <v>79</v>
      </c>
      <c r="C20" s="17"/>
      <c r="D20" s="18">
        <v>63</v>
      </c>
      <c r="E20" s="18">
        <v>125</v>
      </c>
      <c r="F20" s="18">
        <v>250</v>
      </c>
      <c r="G20" s="18">
        <v>500</v>
      </c>
      <c r="H20" s="18">
        <v>1000</v>
      </c>
      <c r="I20" s="18">
        <v>2000</v>
      </c>
      <c r="J20" s="18">
        <v>4000</v>
      </c>
      <c r="K20" s="18">
        <v>8000</v>
      </c>
    </row>
    <row r="21" spans="1:12" x14ac:dyDescent="0.25">
      <c r="A21" s="8" t="s">
        <v>6</v>
      </c>
      <c r="B21" s="8" t="s">
        <v>7</v>
      </c>
      <c r="C21" s="9"/>
      <c r="D21" s="11">
        <f>roomconstant_Rc($C$3,$C$4,D20)</f>
        <v>8.1739130434782616</v>
      </c>
      <c r="E21" s="11">
        <f t="shared" ref="E21:K21" si="0">roomconstant_Rc($C$3,$C$4,E20)</f>
        <v>10.444444444444445</v>
      </c>
      <c r="F21" s="11">
        <f t="shared" si="0"/>
        <v>23.5</v>
      </c>
      <c r="G21" s="11">
        <f t="shared" si="0"/>
        <v>31.333333333333332</v>
      </c>
      <c r="H21" s="11">
        <f t="shared" si="0"/>
        <v>50.615384615384613</v>
      </c>
      <c r="I21" s="11">
        <f t="shared" si="0"/>
        <v>62.666666666666671</v>
      </c>
      <c r="J21" s="11">
        <f t="shared" si="0"/>
        <v>76.909090909090907</v>
      </c>
      <c r="K21" s="11">
        <f t="shared" si="0"/>
        <v>76.909090909090907</v>
      </c>
    </row>
    <row r="22" spans="1:12" x14ac:dyDescent="0.25">
      <c r="A22" s="8" t="s">
        <v>65</v>
      </c>
      <c r="B22" s="8" t="s">
        <v>66</v>
      </c>
      <c r="C22" s="9">
        <f>IF(C11="A", 2, IF(C11="B", 4, 8))</f>
        <v>2</v>
      </c>
      <c r="D22" s="11"/>
      <c r="E22" s="11"/>
      <c r="F22" s="11"/>
      <c r="G22" s="11"/>
      <c r="H22" s="11"/>
      <c r="I22" s="11"/>
      <c r="J22" s="11"/>
      <c r="K22" s="11"/>
    </row>
    <row r="23" spans="1:12" x14ac:dyDescent="0.25">
      <c r="A23" s="8"/>
      <c r="B23" s="8"/>
      <c r="C23" s="10"/>
      <c r="D23" s="11"/>
      <c r="E23" s="11"/>
      <c r="F23" s="11"/>
      <c r="G23" s="11"/>
      <c r="H23" s="11"/>
      <c r="I23" s="11"/>
      <c r="J23" s="11"/>
      <c r="K23" s="11"/>
    </row>
    <row r="24" spans="1:12" x14ac:dyDescent="0.25">
      <c r="A24" s="8" t="s">
        <v>90</v>
      </c>
      <c r="B24" s="8"/>
      <c r="C24" s="10"/>
      <c r="D24" s="11">
        <f xml:space="preserve"> - 10*LOG10(4/D21 +$C$22/(4*PI()*$C$5^2))</f>
        <v>2.7642084013508001</v>
      </c>
      <c r="E24" s="11">
        <f xml:space="preserve"> - 10*LOG10(4/E21 +$C$22/(4*PI()*$C$5^2))</f>
        <v>3.7389844814711006</v>
      </c>
      <c r="F24" s="11">
        <f xml:space="preserve"> - 10*LOG10(4/F21 +$C$22/(4*PI()*$C$5^2))</f>
        <v>6.7777759959511377</v>
      </c>
      <c r="G24" s="11">
        <f xml:space="preserve"> - 10*LOG10(4/G21 +$C$22/(4*PI()*$C$5^2))</f>
        <v>7.7611923066628554</v>
      </c>
      <c r="H24" s="11">
        <f xml:space="preserve"> - 10*LOG10(4/H21 +$C$22/(4*PI()*$C$5^2))</f>
        <v>9.2512473838448823</v>
      </c>
      <c r="I24" s="11">
        <f xml:space="preserve"> - 10*LOG10(4/I21 +$C$22/(4*PI()*$C$5^2))</f>
        <v>9.8456260249933418</v>
      </c>
      <c r="J24" s="11">
        <f xml:space="preserve"> - 10*LOG10(4/J21 +$C$22/(4*PI()*$C$5^2))</f>
        <v>10.371658721294882</v>
      </c>
      <c r="K24" s="11">
        <f xml:space="preserve"> - 10*LOG10(4/K21 +$C$22/(4*PI()*$C$5^2))</f>
        <v>10.371658721294882</v>
      </c>
    </row>
    <row r="25" spans="1:12" x14ac:dyDescent="0.25">
      <c r="A25" s="12" t="s">
        <v>70</v>
      </c>
      <c r="B25" s="8" t="s">
        <v>71</v>
      </c>
      <c r="C25" s="10"/>
      <c r="D25" s="11">
        <f xml:space="preserve"> - 10*LOG10($C$7)</f>
        <v>9.0101036059882276</v>
      </c>
      <c r="E25" s="11">
        <f t="shared" ref="E25:K25" si="1" xml:space="preserve"> - 10*LOG10($C$7)</f>
        <v>9.0101036059882276</v>
      </c>
      <c r="F25" s="11">
        <f t="shared" si="1"/>
        <v>9.0101036059882276</v>
      </c>
      <c r="G25" s="11">
        <f t="shared" si="1"/>
        <v>9.0101036059882276</v>
      </c>
      <c r="H25" s="11">
        <f t="shared" si="1"/>
        <v>9.0101036059882276</v>
      </c>
      <c r="I25" s="11">
        <f t="shared" si="1"/>
        <v>9.0101036059882276</v>
      </c>
      <c r="J25" s="11">
        <f t="shared" si="1"/>
        <v>9.0101036059882276</v>
      </c>
      <c r="K25" s="11">
        <f t="shared" si="1"/>
        <v>9.0101036059882276</v>
      </c>
    </row>
    <row r="26" spans="1:12" x14ac:dyDescent="0.25">
      <c r="A26" s="12" t="s">
        <v>73</v>
      </c>
      <c r="B26" s="8" t="s">
        <v>72</v>
      </c>
      <c r="C26" s="10"/>
      <c r="D26" s="11">
        <f xml:space="preserve"> - loc_correction($C$10,D20)</f>
        <v>-3</v>
      </c>
      <c r="E26" s="11">
        <f t="shared" ref="E26:K26" si="2" xml:space="preserve"> - loc_correction($C$10,E20)</f>
        <v>-2</v>
      </c>
      <c r="F26" s="11">
        <f t="shared" si="2"/>
        <v>-1</v>
      </c>
      <c r="G26" s="11">
        <f t="shared" si="2"/>
        <v>0</v>
      </c>
      <c r="H26" s="11">
        <f t="shared" si="2"/>
        <v>0</v>
      </c>
      <c r="I26" s="11">
        <f t="shared" si="2"/>
        <v>0</v>
      </c>
      <c r="J26" s="11">
        <f t="shared" si="2"/>
        <v>0</v>
      </c>
      <c r="K26" s="11">
        <f t="shared" si="2"/>
        <v>0</v>
      </c>
    </row>
    <row r="27" spans="1:12" x14ac:dyDescent="0.25">
      <c r="A27" s="12"/>
      <c r="B27" s="8"/>
      <c r="C27" s="10"/>
      <c r="D27" s="11"/>
      <c r="E27" s="11"/>
      <c r="F27" s="11"/>
      <c r="G27" s="11"/>
      <c r="H27" s="11"/>
      <c r="I27" s="11"/>
      <c r="J27" s="11"/>
      <c r="K27" s="11"/>
    </row>
    <row r="28" spans="1:12" x14ac:dyDescent="0.25">
      <c r="A28" s="8" t="s">
        <v>74</v>
      </c>
      <c r="B28" s="8" t="s">
        <v>21</v>
      </c>
      <c r="C28" s="10"/>
      <c r="D28" s="10">
        <f>length_attenuation($C$14,$C$13,$C$12,D20)</f>
        <v>0.4</v>
      </c>
      <c r="E28" s="10">
        <f>length_attenuation($C$14,$C$13,$C$12,E20)</f>
        <v>0.4</v>
      </c>
      <c r="F28" s="10">
        <f>length_attenuation($C$14,$C$13,$C$12,F20)</f>
        <v>0.4</v>
      </c>
      <c r="G28" s="10">
        <f>length_attenuation($C$14,$C$13,$C$12,G20)</f>
        <v>0.4</v>
      </c>
      <c r="H28" s="10">
        <f>length_attenuation($C$14,$C$13,$C$12,H20)</f>
        <v>0.4</v>
      </c>
      <c r="I28" s="10">
        <f>length_attenuation($C$14,$C$13,$C$12,I20)</f>
        <v>0.4</v>
      </c>
      <c r="J28" s="10">
        <f>length_attenuation($C$14,$C$13,$C$12,J20)</f>
        <v>0.4</v>
      </c>
      <c r="K28" s="10">
        <f>length_attenuation($C$14,$C$13,$C$12,K20)</f>
        <v>0.4</v>
      </c>
    </row>
    <row r="29" spans="1:12" x14ac:dyDescent="0.25">
      <c r="A29" s="8"/>
      <c r="B29" s="8" t="s">
        <v>64</v>
      </c>
      <c r="C29" s="10"/>
      <c r="D29" s="10">
        <f>bend_attenuation($C$14,$C$16,$C$15,D20)</f>
        <v>2</v>
      </c>
      <c r="E29" s="10">
        <f>bend_attenuation($C$14,$C$16,$C$15,E20)</f>
        <v>2</v>
      </c>
      <c r="F29" s="10">
        <f>bend_attenuation($C$14,$C$16,$C$15,F20)</f>
        <v>4</v>
      </c>
      <c r="G29" s="10">
        <f>bend_attenuation($C$14,$C$16,$C$15,G20)</f>
        <v>6</v>
      </c>
      <c r="H29" s="10">
        <f>bend_attenuation($C$14,$C$16,$C$15,H20)</f>
        <v>6</v>
      </c>
      <c r="I29" s="10">
        <f>bend_attenuation($C$14,$C$16,$C$15,I20)</f>
        <v>6</v>
      </c>
      <c r="J29" s="10">
        <f>bend_attenuation($C$14,$C$16,$C$15,J20)</f>
        <v>6</v>
      </c>
      <c r="K29" s="10">
        <f>bend_attenuation($C$14,$C$16,$C$15,K20)</f>
        <v>6</v>
      </c>
    </row>
    <row r="30" spans="1:12" x14ac:dyDescent="0.25">
      <c r="A30" s="8"/>
      <c r="B30" s="8" t="s">
        <v>43</v>
      </c>
      <c r="C30" s="10"/>
      <c r="D30" s="11">
        <f>branch_attenuation($C$8,$C$9)</f>
        <v>0</v>
      </c>
      <c r="E30" s="11">
        <f>branch_attenuation($C$8,$C$9)</f>
        <v>0</v>
      </c>
      <c r="F30" s="11">
        <f>branch_attenuation($C$8,$C$9)</f>
        <v>0</v>
      </c>
      <c r="G30" s="11">
        <f>branch_attenuation($C$8,$C$9)</f>
        <v>0</v>
      </c>
      <c r="H30" s="11">
        <f>branch_attenuation($C$8,$C$9)</f>
        <v>0</v>
      </c>
      <c r="I30" s="11">
        <f>branch_attenuation($C$8,$C$9)</f>
        <v>0</v>
      </c>
      <c r="J30" s="11">
        <f>branch_attenuation($C$8,$C$9)</f>
        <v>0</v>
      </c>
      <c r="K30" s="11">
        <f>branch_attenuation($C$8,$C$9)</f>
        <v>0</v>
      </c>
    </row>
    <row r="31" spans="1:12" x14ac:dyDescent="0.25">
      <c r="A31" s="8"/>
      <c r="B31" s="8" t="s">
        <v>42</v>
      </c>
      <c r="C31" s="10"/>
      <c r="D31" s="11">
        <f>endReflection($C$8,D20)</f>
        <v>10.487887443988612</v>
      </c>
      <c r="E31" s="11">
        <f t="shared" ref="E31:K31" si="3">endReflection($C$8,E20)</f>
        <v>5.8091898187172717</v>
      </c>
      <c r="F31" s="11">
        <f t="shared" si="3"/>
        <v>2.4635501219205174</v>
      </c>
      <c r="G31" s="11">
        <f t="shared" si="3"/>
        <v>0.81854032855867953</v>
      </c>
      <c r="H31" s="11">
        <f t="shared" si="3"/>
        <v>0.23807575111148588</v>
      </c>
      <c r="I31" s="11">
        <f t="shared" si="3"/>
        <v>6.5983234095536317E-2</v>
      </c>
      <c r="J31" s="11">
        <f t="shared" si="3"/>
        <v>1.8025982049907043E-2</v>
      </c>
      <c r="K31" s="11">
        <f t="shared" si="3"/>
        <v>4.9047727644580376E-3</v>
      </c>
    </row>
    <row r="32" spans="1:12" x14ac:dyDescent="0.25">
      <c r="D32" s="4"/>
      <c r="E32" s="4"/>
      <c r="F32" s="4"/>
      <c r="G32" s="4"/>
      <c r="H32" s="4"/>
      <c r="I32" s="4"/>
      <c r="J32" s="4"/>
      <c r="K32" s="4"/>
    </row>
    <row r="34" spans="1:22" x14ac:dyDescent="0.25">
      <c r="A34" s="14" t="s">
        <v>1</v>
      </c>
      <c r="B34" t="s">
        <v>79</v>
      </c>
      <c r="D34" s="5">
        <v>63</v>
      </c>
      <c r="E34" s="5">
        <v>125</v>
      </c>
      <c r="F34" s="5">
        <v>250</v>
      </c>
      <c r="G34" s="5">
        <v>500</v>
      </c>
      <c r="H34" s="5">
        <v>1000</v>
      </c>
      <c r="I34" s="5">
        <v>2000</v>
      </c>
      <c r="J34" s="5">
        <v>4000</v>
      </c>
      <c r="K34" s="5">
        <v>8000</v>
      </c>
    </row>
    <row r="35" spans="1:22" x14ac:dyDescent="0.25">
      <c r="B35" t="s">
        <v>4</v>
      </c>
      <c r="D35" s="4">
        <f>SUM(D24:D31)+D18</f>
        <v>21.662199451327638</v>
      </c>
      <c r="E35" s="4">
        <f t="shared" ref="E35:K35" si="4">SUM(E24:E31)+E18</f>
        <v>23.958277906176598</v>
      </c>
      <c r="F35" s="4">
        <f>SUM(F24:F31)+F18</f>
        <v>28.651429723859881</v>
      </c>
      <c r="G35" s="4">
        <f t="shared" si="4"/>
        <v>38.989836241209758</v>
      </c>
      <c r="H35" s="4">
        <f t="shared" si="4"/>
        <v>49.899426740944591</v>
      </c>
      <c r="I35" s="4">
        <f t="shared" si="4"/>
        <v>50.321712865077103</v>
      </c>
      <c r="J35" s="4">
        <f t="shared" si="4"/>
        <v>25.799788309333014</v>
      </c>
      <c r="K35" s="4">
        <f t="shared" si="4"/>
        <v>25.786667100047566</v>
      </c>
    </row>
    <row r="36" spans="1:22" ht="18.75" x14ac:dyDescent="0.25">
      <c r="B36" t="s">
        <v>75</v>
      </c>
      <c r="C36" s="15" t="str">
        <f>RiToRwx(E35:I35)</f>
        <v>41(-2;-6)</v>
      </c>
    </row>
    <row r="47" spans="1:22" x14ac:dyDescent="0.25">
      <c r="R47" s="5"/>
      <c r="S47" s="5"/>
      <c r="T47" s="5"/>
      <c r="U47" s="5"/>
      <c r="V47" s="5"/>
    </row>
    <row r="48" spans="1:22" x14ac:dyDescent="0.25">
      <c r="R48" s="5"/>
      <c r="S48" s="5"/>
      <c r="T48" s="5"/>
      <c r="U48" s="5"/>
      <c r="V48" s="5"/>
    </row>
    <row r="51" spans="14:18" x14ac:dyDescent="0.25">
      <c r="N51" s="1"/>
      <c r="O51" s="1"/>
      <c r="P51" s="1"/>
      <c r="Q51" s="1"/>
      <c r="R51" s="1"/>
    </row>
    <row r="52" spans="14:18" x14ac:dyDescent="0.25">
      <c r="N52" s="3"/>
      <c r="O52" s="3"/>
      <c r="P52" s="3"/>
      <c r="Q52" s="3"/>
      <c r="R52" s="3"/>
    </row>
  </sheetData>
  <pageMargins left="0.7" right="0.7" top="0.75" bottom="0.75" header="0.3" footer="0.3"/>
  <pageSetup paperSize="9" orientation="portrait" horizontalDpi="4294967294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1F6D-DE03-4A98-A1DC-63F80C19C4A8}">
  <sheetPr codeName="Sheet2"/>
  <dimension ref="A2:R85"/>
  <sheetViews>
    <sheetView topLeftCell="A64" workbookViewId="0">
      <selection activeCell="I87" sqref="I87"/>
    </sheetView>
  </sheetViews>
  <sheetFormatPr defaultRowHeight="15" x14ac:dyDescent="0.25"/>
  <cols>
    <col min="1" max="1" width="31" bestFit="1" customWidth="1"/>
    <col min="2" max="2" width="11.85546875" bestFit="1" customWidth="1"/>
    <col min="3" max="3" width="20.5703125" bestFit="1" customWidth="1"/>
    <col min="4" max="4" width="15.85546875" customWidth="1"/>
    <col min="8" max="8" width="12" bestFit="1" customWidth="1"/>
  </cols>
  <sheetData>
    <row r="2" spans="1:11" x14ac:dyDescent="0.25">
      <c r="A2" s="7" t="s">
        <v>51</v>
      </c>
    </row>
    <row r="3" spans="1:11" x14ac:dyDescent="0.25">
      <c r="B3" t="s">
        <v>54</v>
      </c>
      <c r="D3">
        <v>63</v>
      </c>
      <c r="E3">
        <v>125</v>
      </c>
      <c r="F3">
        <v>250</v>
      </c>
      <c r="G3">
        <v>500</v>
      </c>
      <c r="H3" t="s">
        <v>2</v>
      </c>
      <c r="I3" t="s">
        <v>3</v>
      </c>
      <c r="J3" t="s">
        <v>12</v>
      </c>
      <c r="K3" t="s">
        <v>13</v>
      </c>
    </row>
    <row r="4" spans="1:11" x14ac:dyDescent="0.25">
      <c r="B4" t="s">
        <v>53</v>
      </c>
      <c r="C4" t="s">
        <v>52</v>
      </c>
      <c r="D4">
        <v>0.02</v>
      </c>
      <c r="E4">
        <v>2.5000000000000001E-2</v>
      </c>
      <c r="F4">
        <v>0.03</v>
      </c>
      <c r="G4">
        <v>0.04</v>
      </c>
      <c r="H4">
        <v>0.06</v>
      </c>
      <c r="I4">
        <v>0.05</v>
      </c>
      <c r="J4">
        <v>0.03</v>
      </c>
      <c r="K4">
        <v>0.02</v>
      </c>
    </row>
    <row r="5" spans="1:11" x14ac:dyDescent="0.25">
      <c r="B5" t="s">
        <v>55</v>
      </c>
      <c r="C5" t="s">
        <v>59</v>
      </c>
      <c r="D5">
        <v>0.02</v>
      </c>
      <c r="E5">
        <v>0.05</v>
      </c>
      <c r="F5">
        <v>0.08</v>
      </c>
      <c r="G5">
        <v>0.1</v>
      </c>
      <c r="H5">
        <v>0.15</v>
      </c>
      <c r="I5">
        <v>0.2</v>
      </c>
      <c r="J5">
        <v>0.2</v>
      </c>
      <c r="K5">
        <v>0.2</v>
      </c>
    </row>
    <row r="6" spans="1:11" x14ac:dyDescent="0.25">
      <c r="B6" t="s">
        <v>56</v>
      </c>
      <c r="C6" t="s">
        <v>60</v>
      </c>
      <c r="D6">
        <v>0.05</v>
      </c>
      <c r="E6">
        <v>7.0000000000000007E-2</v>
      </c>
      <c r="F6">
        <v>0.1</v>
      </c>
      <c r="G6">
        <v>0.15</v>
      </c>
      <c r="H6">
        <v>0.25</v>
      </c>
      <c r="I6">
        <v>0.3</v>
      </c>
      <c r="J6">
        <v>0.35</v>
      </c>
      <c r="K6">
        <v>0.35</v>
      </c>
    </row>
    <row r="7" spans="1:11" x14ac:dyDescent="0.25">
      <c r="B7" t="s">
        <v>57</v>
      </c>
      <c r="C7" t="s">
        <v>61</v>
      </c>
      <c r="D7">
        <v>0.08</v>
      </c>
      <c r="E7">
        <v>0.1</v>
      </c>
      <c r="F7">
        <v>0.2</v>
      </c>
      <c r="G7">
        <v>0.25</v>
      </c>
      <c r="H7">
        <v>0.35</v>
      </c>
      <c r="I7">
        <v>0.4</v>
      </c>
      <c r="J7">
        <v>0.45</v>
      </c>
      <c r="K7">
        <v>0.45</v>
      </c>
    </row>
    <row r="8" spans="1:11" x14ac:dyDescent="0.25">
      <c r="B8" t="s">
        <v>58</v>
      </c>
      <c r="C8" t="s">
        <v>62</v>
      </c>
      <c r="D8">
        <v>0.1</v>
      </c>
      <c r="E8">
        <v>0.2</v>
      </c>
      <c r="F8">
        <v>0.3</v>
      </c>
      <c r="G8">
        <v>0.4</v>
      </c>
      <c r="H8">
        <v>0.5</v>
      </c>
      <c r="I8">
        <v>0.55000000000000004</v>
      </c>
      <c r="J8">
        <v>0.55000000000000004</v>
      </c>
      <c r="K8">
        <v>0.55000000000000004</v>
      </c>
    </row>
    <row r="13" spans="1:11" x14ac:dyDescent="0.25">
      <c r="A13" s="7" t="s">
        <v>22</v>
      </c>
    </row>
    <row r="14" spans="1:11" x14ac:dyDescent="0.25">
      <c r="A14" t="s">
        <v>47</v>
      </c>
      <c r="B14" t="s">
        <v>9</v>
      </c>
      <c r="C14" t="s">
        <v>10</v>
      </c>
      <c r="D14" t="s">
        <v>11</v>
      </c>
    </row>
    <row r="15" spans="1:11" x14ac:dyDescent="0.25">
      <c r="D15">
        <v>63</v>
      </c>
      <c r="E15">
        <v>125</v>
      </c>
      <c r="F15">
        <v>250</v>
      </c>
      <c r="G15">
        <v>500</v>
      </c>
      <c r="H15" t="s">
        <v>2</v>
      </c>
      <c r="I15" t="s">
        <v>3</v>
      </c>
      <c r="J15" t="s">
        <v>12</v>
      </c>
      <c r="K15" t="s">
        <v>13</v>
      </c>
    </row>
    <row r="16" spans="1:11" x14ac:dyDescent="0.25">
      <c r="B16" t="s">
        <v>17</v>
      </c>
      <c r="C16" t="s">
        <v>14</v>
      </c>
      <c r="D16">
        <v>1</v>
      </c>
      <c r="E16">
        <v>0.7</v>
      </c>
      <c r="F16">
        <v>0.3</v>
      </c>
      <c r="G16">
        <v>0.3</v>
      </c>
      <c r="H16">
        <v>0.3</v>
      </c>
      <c r="I16">
        <v>0.3</v>
      </c>
      <c r="J16">
        <v>0.3</v>
      </c>
      <c r="K16">
        <v>0.3</v>
      </c>
    </row>
    <row r="17" spans="1:11" x14ac:dyDescent="0.25">
      <c r="C17" t="s">
        <v>15</v>
      </c>
      <c r="D17">
        <v>1</v>
      </c>
      <c r="E17">
        <v>0.4</v>
      </c>
      <c r="F17">
        <v>0.3</v>
      </c>
      <c r="G17">
        <v>0.2</v>
      </c>
      <c r="H17">
        <v>0.2</v>
      </c>
      <c r="I17">
        <v>0.2</v>
      </c>
      <c r="J17">
        <v>0.2</v>
      </c>
      <c r="K17">
        <v>0.2</v>
      </c>
    </row>
    <row r="18" spans="1:11" x14ac:dyDescent="0.25">
      <c r="C18" t="s">
        <v>16</v>
      </c>
      <c r="D18">
        <v>0.6</v>
      </c>
      <c r="E18">
        <v>0.4</v>
      </c>
      <c r="F18">
        <v>0.3</v>
      </c>
      <c r="G18">
        <v>0.1</v>
      </c>
      <c r="H18">
        <v>0.1</v>
      </c>
      <c r="I18">
        <v>0.1</v>
      </c>
      <c r="J18">
        <v>0.1</v>
      </c>
      <c r="K18">
        <v>0.1</v>
      </c>
    </row>
    <row r="19" spans="1:11" x14ac:dyDescent="0.25">
      <c r="C19" t="s">
        <v>18</v>
      </c>
      <c r="D19">
        <v>0.5</v>
      </c>
      <c r="E19">
        <v>0.3</v>
      </c>
      <c r="F19">
        <v>0.2</v>
      </c>
      <c r="G19">
        <v>0.1</v>
      </c>
      <c r="H19">
        <v>0.1</v>
      </c>
      <c r="I19">
        <v>0.1</v>
      </c>
      <c r="J19">
        <v>0.1</v>
      </c>
      <c r="K19">
        <v>0.1</v>
      </c>
    </row>
    <row r="20" spans="1:11" x14ac:dyDescent="0.25">
      <c r="B20" t="s">
        <v>19</v>
      </c>
      <c r="C20" t="s">
        <v>20</v>
      </c>
      <c r="D20">
        <v>0.1</v>
      </c>
      <c r="E20">
        <v>0.1</v>
      </c>
      <c r="F20">
        <v>0.1</v>
      </c>
      <c r="G20">
        <v>0.1</v>
      </c>
      <c r="H20">
        <v>0.1</v>
      </c>
      <c r="I20">
        <v>0.1</v>
      </c>
      <c r="J20">
        <v>0.1</v>
      </c>
      <c r="K20">
        <v>0.1</v>
      </c>
    </row>
    <row r="21" spans="1:11" x14ac:dyDescent="0.25">
      <c r="C21" t="s">
        <v>18</v>
      </c>
      <c r="D21">
        <v>0.03</v>
      </c>
      <c r="E21">
        <v>0.03</v>
      </c>
      <c r="F21">
        <v>0.03</v>
      </c>
      <c r="G21">
        <v>0.06</v>
      </c>
      <c r="H21">
        <v>0.06</v>
      </c>
      <c r="I21">
        <v>0.06</v>
      </c>
      <c r="J21">
        <v>0.06</v>
      </c>
      <c r="K21">
        <v>0.06</v>
      </c>
    </row>
    <row r="23" spans="1:11" x14ac:dyDescent="0.25">
      <c r="A23" s="7" t="s">
        <v>23</v>
      </c>
    </row>
    <row r="24" spans="1:11" x14ac:dyDescent="0.25">
      <c r="A24" t="s">
        <v>46</v>
      </c>
      <c r="B24" t="s">
        <v>34</v>
      </c>
      <c r="E24" t="s">
        <v>31</v>
      </c>
    </row>
    <row r="25" spans="1:11" x14ac:dyDescent="0.25">
      <c r="C25" t="s">
        <v>24</v>
      </c>
      <c r="E25" t="s">
        <v>32</v>
      </c>
      <c r="F25" t="s">
        <v>33</v>
      </c>
    </row>
    <row r="26" spans="1:11" x14ac:dyDescent="0.25">
      <c r="C26" t="s">
        <v>25</v>
      </c>
      <c r="E26">
        <v>0</v>
      </c>
      <c r="F26">
        <v>0</v>
      </c>
    </row>
    <row r="27" spans="1:11" x14ac:dyDescent="0.25">
      <c r="C27" t="s">
        <v>26</v>
      </c>
      <c r="E27">
        <v>1</v>
      </c>
      <c r="F27">
        <v>1</v>
      </c>
    </row>
    <row r="28" spans="1:11" x14ac:dyDescent="0.25">
      <c r="C28" t="s">
        <v>27</v>
      </c>
      <c r="E28">
        <v>5</v>
      </c>
      <c r="F28">
        <v>6</v>
      </c>
    </row>
    <row r="29" spans="1:11" x14ac:dyDescent="0.25">
      <c r="C29" t="s">
        <v>28</v>
      </c>
      <c r="E29">
        <v>8</v>
      </c>
      <c r="F29">
        <v>11</v>
      </c>
    </row>
    <row r="30" spans="1:11" x14ac:dyDescent="0.25">
      <c r="C30" t="s">
        <v>29</v>
      </c>
      <c r="E30">
        <v>4</v>
      </c>
      <c r="F30">
        <v>10</v>
      </c>
    </row>
    <row r="31" spans="1:11" x14ac:dyDescent="0.25">
      <c r="C31" t="s">
        <v>30</v>
      </c>
      <c r="E31">
        <v>3</v>
      </c>
      <c r="F31">
        <v>10</v>
      </c>
    </row>
    <row r="32" spans="1:11" x14ac:dyDescent="0.25">
      <c r="B32" t="s">
        <v>35</v>
      </c>
      <c r="E32" t="s">
        <v>31</v>
      </c>
    </row>
    <row r="33" spans="1:6" x14ac:dyDescent="0.25">
      <c r="C33" t="s">
        <v>24</v>
      </c>
      <c r="E33" t="s">
        <v>32</v>
      </c>
      <c r="F33" t="s">
        <v>33</v>
      </c>
    </row>
    <row r="34" spans="1:6" x14ac:dyDescent="0.25">
      <c r="C34" t="s">
        <v>25</v>
      </c>
      <c r="E34">
        <v>0</v>
      </c>
      <c r="F34">
        <v>0</v>
      </c>
    </row>
    <row r="35" spans="1:6" x14ac:dyDescent="0.25">
      <c r="C35" t="s">
        <v>26</v>
      </c>
      <c r="E35">
        <v>1</v>
      </c>
      <c r="F35">
        <v>1</v>
      </c>
    </row>
    <row r="36" spans="1:6" x14ac:dyDescent="0.25">
      <c r="C36" t="s">
        <v>27</v>
      </c>
      <c r="E36">
        <v>4</v>
      </c>
      <c r="F36">
        <v>4</v>
      </c>
    </row>
    <row r="37" spans="1:6" x14ac:dyDescent="0.25">
      <c r="C37" t="s">
        <v>28</v>
      </c>
      <c r="E37">
        <v>6</v>
      </c>
      <c r="F37">
        <v>7</v>
      </c>
    </row>
    <row r="38" spans="1:6" x14ac:dyDescent="0.25">
      <c r="C38" t="s">
        <v>36</v>
      </c>
      <c r="E38">
        <v>4</v>
      </c>
      <c r="F38">
        <v>7</v>
      </c>
    </row>
    <row r="39" spans="1:6" x14ac:dyDescent="0.25">
      <c r="B39" t="s">
        <v>37</v>
      </c>
      <c r="E39" t="s">
        <v>41</v>
      </c>
    </row>
    <row r="40" spans="1:6" x14ac:dyDescent="0.25">
      <c r="C40" t="s">
        <v>24</v>
      </c>
      <c r="E40" t="s">
        <v>32</v>
      </c>
    </row>
    <row r="41" spans="1:6" x14ac:dyDescent="0.25">
      <c r="C41" t="s">
        <v>38</v>
      </c>
      <c r="E41">
        <v>0</v>
      </c>
    </row>
    <row r="42" spans="1:6" x14ac:dyDescent="0.25">
      <c r="C42" t="s">
        <v>39</v>
      </c>
      <c r="E42">
        <v>1</v>
      </c>
    </row>
    <row r="43" spans="1:6" x14ac:dyDescent="0.25">
      <c r="C43" t="s">
        <v>26</v>
      </c>
      <c r="E43">
        <v>2</v>
      </c>
    </row>
    <row r="44" spans="1:6" x14ac:dyDescent="0.25">
      <c r="C44" t="s">
        <v>40</v>
      </c>
      <c r="E44">
        <v>3</v>
      </c>
    </row>
    <row r="46" spans="1:6" x14ac:dyDescent="0.25">
      <c r="A46" s="7" t="s">
        <v>44</v>
      </c>
    </row>
    <row r="47" spans="1:6" x14ac:dyDescent="0.25">
      <c r="A47" t="s">
        <v>45</v>
      </c>
    </row>
    <row r="62" spans="1:1" x14ac:dyDescent="0.25">
      <c r="A62" s="7" t="s">
        <v>42</v>
      </c>
    </row>
    <row r="63" spans="1:1" x14ac:dyDescent="0.25">
      <c r="A63" t="s">
        <v>48</v>
      </c>
    </row>
    <row r="77" spans="1:1" x14ac:dyDescent="0.25">
      <c r="A77" s="7" t="s">
        <v>68</v>
      </c>
    </row>
    <row r="84" spans="13:18" x14ac:dyDescent="0.25">
      <c r="M84" s="3"/>
      <c r="N84" s="3"/>
      <c r="O84" s="3"/>
      <c r="P84" s="3"/>
      <c r="Q84" s="3"/>
      <c r="R84" s="2"/>
    </row>
    <row r="85" spans="13:18" x14ac:dyDescent="0.25">
      <c r="M85" s="3"/>
      <c r="N85" s="3"/>
      <c r="O85" s="3"/>
      <c r="P85" s="3"/>
      <c r="Q85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Attenaution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cross-talk</dc:title>
  <dc:creator>Weigang Wei</dc:creator>
  <cp:lastModifiedBy>Weigang Wei</cp:lastModifiedBy>
  <dcterms:created xsi:type="dcterms:W3CDTF">2018-01-10T11:25:54Z</dcterms:created>
  <dcterms:modified xsi:type="dcterms:W3CDTF">2018-01-11T15:04:01Z</dcterms:modified>
</cp:coreProperties>
</file>