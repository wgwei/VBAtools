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528" codeName="{B1203076-2D4D-A25B-A398-973B695A806A}"/>
  <workbookPr filterPrivacy="1" codeName="ThisWorkbook"/>
  <bookViews>
    <workbookView xWindow="0" yWindow="0" windowWidth="22260" windowHeight="12645" firstSheet="3" activeTab="7" xr2:uid="{00000000-000D-0000-FFFF-FFFF00000000}"/>
  </bookViews>
  <sheets>
    <sheet name="baseline AADT 2016" sheetId="1" state="hidden" r:id="rId1"/>
    <sheet name="DM AADT 2030" sheetId="2" state="hidden" r:id="rId2"/>
    <sheet name="DS AADT 2030" sheetId="3" state="hidden" r:id="rId3"/>
    <sheet name="Prevailing 2015" sheetId="5" r:id="rId4"/>
    <sheet name="DM 2016" sheetId="10" r:id="rId5"/>
    <sheet name="DS 2016" sheetId="8" r:id="rId6"/>
    <sheet name="DM 2030" sheetId="6" r:id="rId7"/>
    <sheet name="DS 2030" sheetId="7" r:id="rId8"/>
    <sheet name="Unusual data" sheetId="9" r:id="rId9"/>
    <sheet name="Sheet1" sheetId="11" r:id="rId10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4" i="7" l="1"/>
  <c r="Q48" i="5" l="1"/>
  <c r="Q46" i="5"/>
  <c r="Q44" i="5"/>
  <c r="Q42" i="5"/>
  <c r="Q40" i="5"/>
  <c r="Q38" i="5"/>
  <c r="Q36" i="5"/>
  <c r="Q34" i="5"/>
  <c r="Q32" i="5"/>
  <c r="Q30" i="5"/>
  <c r="Q28" i="5"/>
  <c r="Q26" i="5"/>
  <c r="Q24" i="5"/>
  <c r="Q22" i="5"/>
  <c r="Q20" i="5"/>
  <c r="Q18" i="5"/>
  <c r="Q16" i="5"/>
  <c r="Q14" i="5"/>
  <c r="Q12" i="5"/>
  <c r="Q10" i="5"/>
  <c r="Q3" i="5"/>
  <c r="Q4" i="5"/>
  <c r="Q5" i="5"/>
  <c r="Q6" i="5"/>
  <c r="Q7" i="5"/>
  <c r="Q8" i="5"/>
  <c r="Q2" i="5"/>
  <c r="Q2" i="8"/>
  <c r="L48" i="10"/>
  <c r="K48" i="10"/>
  <c r="J48" i="10"/>
  <c r="L46" i="10"/>
  <c r="K46" i="10"/>
  <c r="J46" i="10"/>
  <c r="L44" i="10"/>
  <c r="K44" i="10"/>
  <c r="J44" i="10"/>
  <c r="L42" i="10"/>
  <c r="K42" i="10"/>
  <c r="J42" i="10"/>
  <c r="L40" i="10"/>
  <c r="K40" i="10"/>
  <c r="J40" i="10"/>
  <c r="L38" i="10"/>
  <c r="K38" i="10"/>
  <c r="J38" i="10"/>
  <c r="L36" i="10"/>
  <c r="K36" i="10"/>
  <c r="J36" i="10"/>
  <c r="L34" i="10"/>
  <c r="K34" i="10"/>
  <c r="J34" i="10"/>
  <c r="L32" i="10"/>
  <c r="K32" i="10"/>
  <c r="J32" i="10"/>
  <c r="L30" i="10"/>
  <c r="K30" i="10"/>
  <c r="J30" i="10"/>
  <c r="L28" i="10"/>
  <c r="K28" i="10"/>
  <c r="J28" i="10"/>
  <c r="L26" i="10"/>
  <c r="K26" i="10"/>
  <c r="J26" i="10"/>
  <c r="L24" i="10"/>
  <c r="K24" i="10"/>
  <c r="J24" i="10"/>
  <c r="L22" i="10"/>
  <c r="K22" i="10"/>
  <c r="J22" i="10"/>
  <c r="L20" i="10"/>
  <c r="K20" i="10"/>
  <c r="J20" i="10"/>
  <c r="L18" i="10"/>
  <c r="K18" i="10"/>
  <c r="J18" i="10"/>
  <c r="L16" i="10"/>
  <c r="K16" i="10"/>
  <c r="J16" i="10"/>
  <c r="L14" i="10"/>
  <c r="K14" i="10"/>
  <c r="J14" i="10"/>
  <c r="L12" i="10"/>
  <c r="K12" i="10"/>
  <c r="J12" i="10"/>
  <c r="L10" i="10"/>
  <c r="K10" i="10"/>
  <c r="J10" i="10"/>
  <c r="L8" i="10"/>
  <c r="K8" i="10"/>
  <c r="J8" i="10"/>
  <c r="L7" i="10"/>
  <c r="K7" i="10"/>
  <c r="J7" i="10"/>
  <c r="I7" i="10"/>
  <c r="L6" i="10"/>
  <c r="K6" i="10"/>
  <c r="J6" i="10"/>
  <c r="I6" i="10"/>
  <c r="L5" i="10"/>
  <c r="K5" i="10"/>
  <c r="J5" i="10"/>
  <c r="I5" i="10"/>
  <c r="L4" i="10"/>
  <c r="K4" i="10"/>
  <c r="J4" i="10"/>
  <c r="I4" i="10"/>
  <c r="L3" i="10"/>
  <c r="K3" i="10"/>
  <c r="J3" i="10"/>
  <c r="I3" i="10"/>
  <c r="L2" i="10"/>
  <c r="K2" i="10"/>
  <c r="J2" i="10"/>
  <c r="I2" i="10"/>
  <c r="O48" i="10"/>
  <c r="N42" i="10"/>
  <c r="O40" i="10"/>
  <c r="N34" i="10"/>
  <c r="O32" i="10"/>
  <c r="N26" i="10"/>
  <c r="O24" i="10"/>
  <c r="N18" i="10"/>
  <c r="O16" i="10"/>
  <c r="N10" i="10"/>
  <c r="O8" i="10"/>
  <c r="N6" i="10"/>
  <c r="N4" i="10"/>
  <c r="N2" i="10"/>
  <c r="N48" i="10"/>
  <c r="O46" i="10"/>
  <c r="N40" i="10"/>
  <c r="O38" i="10"/>
  <c r="N32" i="10"/>
  <c r="O30" i="10"/>
  <c r="N24" i="10"/>
  <c r="O22" i="10"/>
  <c r="N16" i="10"/>
  <c r="O14" i="10"/>
  <c r="N8" i="10"/>
  <c r="O7" i="10"/>
  <c r="O5" i="10"/>
  <c r="O3" i="10"/>
  <c r="N46" i="10"/>
  <c r="O44" i="10"/>
  <c r="N38" i="10"/>
  <c r="O36" i="10"/>
  <c r="N30" i="10"/>
  <c r="O28" i="10"/>
  <c r="N22" i="10"/>
  <c r="O20" i="10"/>
  <c r="N14" i="10"/>
  <c r="O12" i="10"/>
  <c r="N7" i="10"/>
  <c r="N5" i="10"/>
  <c r="N3" i="10"/>
  <c r="N44" i="10"/>
  <c r="O42" i="10"/>
  <c r="N36" i="10"/>
  <c r="O34" i="10"/>
  <c r="N28" i="10"/>
  <c r="O26" i="10"/>
  <c r="N20" i="10"/>
  <c r="O18" i="10"/>
  <c r="N12" i="10"/>
  <c r="O10" i="10"/>
  <c r="O6" i="10"/>
  <c r="O4" i="10"/>
  <c r="O2" i="10"/>
  <c r="O2" i="7"/>
  <c r="K57" i="7" l="1"/>
  <c r="K57" i="8"/>
  <c r="K56" i="7"/>
  <c r="M55" i="7"/>
  <c r="L55" i="7"/>
  <c r="K55" i="7"/>
  <c r="K54" i="7"/>
  <c r="K56" i="8"/>
  <c r="K54" i="8"/>
  <c r="L55" i="8"/>
  <c r="M55" i="8"/>
  <c r="P55" i="8"/>
  <c r="K55" i="8"/>
  <c r="L53" i="8" l="1"/>
  <c r="K53" i="8"/>
  <c r="J53" i="8"/>
  <c r="L52" i="8"/>
  <c r="K52" i="8"/>
  <c r="J52" i="8"/>
  <c r="L51" i="8"/>
  <c r="K51" i="8"/>
  <c r="J51" i="8"/>
  <c r="L50" i="8"/>
  <c r="K50" i="8"/>
  <c r="J50" i="8"/>
  <c r="L48" i="8"/>
  <c r="K48" i="8"/>
  <c r="J48" i="8"/>
  <c r="L46" i="8"/>
  <c r="K46" i="8"/>
  <c r="J46" i="8"/>
  <c r="L44" i="8"/>
  <c r="K44" i="8"/>
  <c r="J44" i="8"/>
  <c r="L42" i="8"/>
  <c r="K42" i="8"/>
  <c r="J42" i="8"/>
  <c r="L40" i="8"/>
  <c r="K40" i="8"/>
  <c r="J40" i="8"/>
  <c r="L38" i="8"/>
  <c r="K38" i="8"/>
  <c r="J38" i="8"/>
  <c r="L36" i="8"/>
  <c r="K36" i="8"/>
  <c r="J36" i="8"/>
  <c r="L34" i="8"/>
  <c r="K34" i="8"/>
  <c r="J34" i="8"/>
  <c r="L32" i="8"/>
  <c r="K32" i="8"/>
  <c r="J32" i="8"/>
  <c r="L30" i="8"/>
  <c r="K30" i="8"/>
  <c r="J30" i="8"/>
  <c r="L28" i="8"/>
  <c r="K28" i="8"/>
  <c r="J28" i="8"/>
  <c r="L26" i="8"/>
  <c r="K26" i="8"/>
  <c r="J26" i="8"/>
  <c r="L24" i="8"/>
  <c r="K24" i="8"/>
  <c r="J24" i="8"/>
  <c r="L22" i="8"/>
  <c r="K22" i="8"/>
  <c r="J22" i="8"/>
  <c r="L20" i="8"/>
  <c r="K20" i="8"/>
  <c r="J20" i="8"/>
  <c r="L18" i="8"/>
  <c r="K18" i="8"/>
  <c r="J18" i="8"/>
  <c r="L16" i="8"/>
  <c r="K16" i="8"/>
  <c r="J16" i="8"/>
  <c r="L14" i="8"/>
  <c r="K14" i="8"/>
  <c r="J14" i="8"/>
  <c r="L12" i="8"/>
  <c r="K12" i="8"/>
  <c r="J12" i="8"/>
  <c r="L10" i="8"/>
  <c r="K10" i="8"/>
  <c r="J10" i="8"/>
  <c r="L8" i="8"/>
  <c r="K8" i="8"/>
  <c r="J8" i="8"/>
  <c r="L7" i="8"/>
  <c r="K7" i="8"/>
  <c r="J7" i="8"/>
  <c r="L6" i="8"/>
  <c r="K6" i="8"/>
  <c r="J6" i="8"/>
  <c r="L5" i="8"/>
  <c r="K5" i="8"/>
  <c r="J5" i="8"/>
  <c r="L4" i="8"/>
  <c r="K4" i="8"/>
  <c r="J4" i="8"/>
  <c r="L3" i="8"/>
  <c r="K3" i="8"/>
  <c r="J3" i="8"/>
  <c r="L2" i="8"/>
  <c r="K2" i="8"/>
  <c r="J2" i="8"/>
  <c r="L53" i="7"/>
  <c r="K53" i="7"/>
  <c r="J53" i="7"/>
  <c r="L52" i="7"/>
  <c r="K52" i="7"/>
  <c r="J52" i="7"/>
  <c r="L51" i="7"/>
  <c r="K51" i="7"/>
  <c r="J51" i="7"/>
  <c r="L50" i="7"/>
  <c r="K50" i="7"/>
  <c r="J50" i="7"/>
  <c r="L48" i="7"/>
  <c r="K48" i="7"/>
  <c r="J48" i="7"/>
  <c r="L46" i="7"/>
  <c r="K46" i="7"/>
  <c r="J46" i="7"/>
  <c r="L44" i="7"/>
  <c r="K44" i="7"/>
  <c r="J44" i="7"/>
  <c r="L42" i="7"/>
  <c r="K42" i="7"/>
  <c r="J42" i="7"/>
  <c r="L40" i="7"/>
  <c r="K40" i="7"/>
  <c r="J40" i="7"/>
  <c r="L38" i="7"/>
  <c r="K38" i="7"/>
  <c r="J38" i="7"/>
  <c r="L36" i="7"/>
  <c r="K36" i="7"/>
  <c r="J36" i="7"/>
  <c r="L34" i="7"/>
  <c r="K34" i="7"/>
  <c r="J34" i="7"/>
  <c r="L32" i="7"/>
  <c r="K32" i="7"/>
  <c r="J32" i="7"/>
  <c r="L30" i="7"/>
  <c r="K30" i="7"/>
  <c r="J30" i="7"/>
  <c r="L28" i="7"/>
  <c r="K28" i="7"/>
  <c r="J28" i="7"/>
  <c r="L26" i="7"/>
  <c r="K26" i="7"/>
  <c r="J26" i="7"/>
  <c r="L24" i="7"/>
  <c r="K24" i="7"/>
  <c r="J24" i="7"/>
  <c r="L22" i="7"/>
  <c r="K22" i="7"/>
  <c r="J22" i="7"/>
  <c r="L20" i="7"/>
  <c r="K20" i="7"/>
  <c r="J20" i="7"/>
  <c r="L18" i="7"/>
  <c r="K18" i="7"/>
  <c r="J18" i="7"/>
  <c r="L16" i="7"/>
  <c r="K16" i="7"/>
  <c r="J16" i="7"/>
  <c r="L14" i="7"/>
  <c r="K14" i="7"/>
  <c r="J14" i="7"/>
  <c r="L12" i="7"/>
  <c r="K12" i="7"/>
  <c r="J12" i="7"/>
  <c r="L10" i="7"/>
  <c r="K10" i="7"/>
  <c r="J10" i="7"/>
  <c r="L8" i="7"/>
  <c r="K8" i="7"/>
  <c r="J8" i="7"/>
  <c r="L7" i="7"/>
  <c r="K7" i="7"/>
  <c r="J7" i="7"/>
  <c r="L6" i="7"/>
  <c r="K6" i="7"/>
  <c r="J6" i="7"/>
  <c r="L5" i="7"/>
  <c r="K5" i="7"/>
  <c r="J5" i="7"/>
  <c r="L4" i="7"/>
  <c r="K4" i="7"/>
  <c r="J4" i="7"/>
  <c r="L3" i="7"/>
  <c r="K3" i="7"/>
  <c r="J3" i="7"/>
  <c r="L2" i="7"/>
  <c r="K2" i="7"/>
  <c r="J2" i="7"/>
  <c r="L48" i="6"/>
  <c r="K48" i="6"/>
  <c r="J48" i="6"/>
  <c r="L46" i="6"/>
  <c r="K46" i="6"/>
  <c r="J46" i="6"/>
  <c r="L44" i="6"/>
  <c r="K44" i="6"/>
  <c r="J44" i="6"/>
  <c r="L42" i="6"/>
  <c r="K42" i="6"/>
  <c r="J42" i="6"/>
  <c r="L40" i="6"/>
  <c r="K40" i="6"/>
  <c r="J40" i="6"/>
  <c r="L38" i="6"/>
  <c r="K38" i="6"/>
  <c r="J38" i="6"/>
  <c r="L36" i="6"/>
  <c r="K36" i="6"/>
  <c r="J36" i="6"/>
  <c r="L34" i="6"/>
  <c r="K34" i="6"/>
  <c r="J34" i="6"/>
  <c r="L32" i="6"/>
  <c r="K32" i="6"/>
  <c r="J32" i="6"/>
  <c r="L30" i="6"/>
  <c r="K30" i="6"/>
  <c r="J30" i="6"/>
  <c r="L28" i="6"/>
  <c r="K28" i="6"/>
  <c r="J28" i="6"/>
  <c r="L26" i="6"/>
  <c r="K26" i="6"/>
  <c r="J26" i="6"/>
  <c r="L24" i="6"/>
  <c r="K24" i="6"/>
  <c r="J24" i="6"/>
  <c r="L22" i="6"/>
  <c r="K22" i="6"/>
  <c r="J22" i="6"/>
  <c r="L20" i="6"/>
  <c r="K20" i="6"/>
  <c r="J20" i="6"/>
  <c r="L18" i="6"/>
  <c r="K18" i="6"/>
  <c r="J18" i="6"/>
  <c r="L16" i="6"/>
  <c r="K16" i="6"/>
  <c r="J16" i="6"/>
  <c r="L14" i="6"/>
  <c r="K14" i="6"/>
  <c r="J14" i="6"/>
  <c r="L12" i="6"/>
  <c r="K12" i="6"/>
  <c r="J12" i="6"/>
  <c r="L10" i="6"/>
  <c r="K10" i="6"/>
  <c r="J10" i="6"/>
  <c r="L8" i="6"/>
  <c r="K8" i="6"/>
  <c r="J8" i="6"/>
  <c r="L7" i="6"/>
  <c r="K7" i="6"/>
  <c r="J7" i="6"/>
  <c r="L6" i="6"/>
  <c r="K6" i="6"/>
  <c r="J6" i="6"/>
  <c r="L5" i="6"/>
  <c r="K5" i="6"/>
  <c r="J5" i="6"/>
  <c r="L4" i="6"/>
  <c r="K4" i="6"/>
  <c r="J4" i="6"/>
  <c r="L3" i="6"/>
  <c r="K3" i="6"/>
  <c r="J3" i="6"/>
  <c r="L2" i="6"/>
  <c r="K2" i="6"/>
  <c r="J2" i="6"/>
  <c r="O46" i="8"/>
  <c r="O30" i="8"/>
  <c r="O14" i="8"/>
  <c r="N52" i="8"/>
  <c r="N38" i="8"/>
  <c r="N22" i="8"/>
  <c r="N7" i="8"/>
  <c r="N51" i="8"/>
  <c r="N36" i="8"/>
  <c r="N20" i="8"/>
  <c r="N6" i="8"/>
  <c r="N50" i="8"/>
  <c r="N34" i="8"/>
  <c r="N18" i="8"/>
  <c r="O4" i="8"/>
  <c r="O53" i="7"/>
  <c r="O50" i="7"/>
  <c r="O36" i="7"/>
  <c r="O20" i="7"/>
  <c r="O4" i="7"/>
  <c r="N40" i="7"/>
  <c r="N24" i="7"/>
  <c r="N6" i="7"/>
  <c r="O42" i="7"/>
  <c r="O26" i="7"/>
  <c r="O10" i="7"/>
  <c r="N46" i="7"/>
  <c r="N30" i="7"/>
  <c r="N14" i="7"/>
  <c r="N3" i="7"/>
  <c r="O36" i="6"/>
  <c r="O20" i="6"/>
  <c r="O6" i="6"/>
  <c r="O34" i="6"/>
  <c r="O5" i="6"/>
  <c r="N18" i="6"/>
  <c r="N44" i="6"/>
  <c r="N28" i="6"/>
  <c r="N12" i="6"/>
  <c r="N2" i="6"/>
  <c r="O22" i="6"/>
  <c r="N46" i="6"/>
  <c r="N14" i="6"/>
  <c r="N8" i="7"/>
  <c r="N32" i="8"/>
  <c r="O28" i="8"/>
  <c r="O42" i="8"/>
  <c r="O53" i="8"/>
  <c r="N5" i="8"/>
  <c r="O40" i="7"/>
  <c r="N44" i="7"/>
  <c r="O46" i="7"/>
  <c r="O14" i="7"/>
  <c r="N5" i="7"/>
  <c r="O8" i="6"/>
  <c r="N26" i="6"/>
  <c r="N16" i="6"/>
  <c r="O3" i="6"/>
  <c r="N53" i="8"/>
  <c r="N40" i="8"/>
  <c r="N24" i="8"/>
  <c r="O7" i="8"/>
  <c r="O51" i="8"/>
  <c r="O36" i="8"/>
  <c r="O20" i="8"/>
  <c r="O6" i="8"/>
  <c r="O50" i="8"/>
  <c r="O34" i="8"/>
  <c r="O18" i="8"/>
  <c r="O5" i="8"/>
  <c r="O48" i="8"/>
  <c r="O32" i="8"/>
  <c r="O16" i="8"/>
  <c r="N51" i="7"/>
  <c r="N52" i="7"/>
  <c r="O48" i="7"/>
  <c r="O32" i="7"/>
  <c r="O16" i="7"/>
  <c r="N36" i="7"/>
  <c r="N20" i="7"/>
  <c r="N4" i="7"/>
  <c r="O38" i="7"/>
  <c r="O22" i="7"/>
  <c r="O7" i="7"/>
  <c r="N42" i="7"/>
  <c r="N26" i="7"/>
  <c r="N10" i="7"/>
  <c r="O48" i="6"/>
  <c r="O32" i="6"/>
  <c r="O16" i="6"/>
  <c r="O4" i="6"/>
  <c r="O26" i="6"/>
  <c r="N42" i="6"/>
  <c r="N10" i="6"/>
  <c r="N40" i="6"/>
  <c r="N24" i="6"/>
  <c r="N8" i="6"/>
  <c r="O46" i="6"/>
  <c r="O14" i="6"/>
  <c r="N38" i="6"/>
  <c r="N7" i="6"/>
  <c r="O8" i="8"/>
  <c r="N8" i="8"/>
  <c r="N16" i="8"/>
  <c r="O44" i="8"/>
  <c r="O2" i="8"/>
  <c r="O10" i="8"/>
  <c r="O24" i="8"/>
  <c r="N50" i="7"/>
  <c r="O6" i="7"/>
  <c r="N12" i="7"/>
  <c r="O3" i="7"/>
  <c r="N18" i="7"/>
  <c r="O24" i="6"/>
  <c r="O10" i="6"/>
  <c r="N32" i="6"/>
  <c r="O30" i="6"/>
  <c r="N22" i="6"/>
  <c r="O52" i="8"/>
  <c r="O38" i="8"/>
  <c r="O22" i="8"/>
  <c r="N4" i="8"/>
  <c r="N46" i="8"/>
  <c r="N30" i="8"/>
  <c r="N14" i="8"/>
  <c r="N3" i="8"/>
  <c r="N44" i="8"/>
  <c r="N28" i="8"/>
  <c r="N12" i="8"/>
  <c r="N2" i="8"/>
  <c r="N42" i="8"/>
  <c r="N26" i="8"/>
  <c r="N10" i="8"/>
  <c r="N53" i="7"/>
  <c r="O52" i="7"/>
  <c r="O44" i="7"/>
  <c r="O28" i="7"/>
  <c r="O12" i="7"/>
  <c r="N48" i="7"/>
  <c r="N32" i="7"/>
  <c r="N16" i="7"/>
  <c r="N2" i="7"/>
  <c r="O34" i="7"/>
  <c r="O18" i="7"/>
  <c r="O5" i="7"/>
  <c r="N38" i="7"/>
  <c r="N22" i="7"/>
  <c r="N7" i="7"/>
  <c r="O44" i="6"/>
  <c r="O28" i="6"/>
  <c r="O12" i="6"/>
  <c r="O2" i="6"/>
  <c r="O18" i="6"/>
  <c r="N34" i="6"/>
  <c r="N5" i="6"/>
  <c r="N36" i="6"/>
  <c r="N20" i="6"/>
  <c r="N6" i="6"/>
  <c r="O38" i="6"/>
  <c r="O7" i="6"/>
  <c r="N30" i="6"/>
  <c r="N3" i="6"/>
  <c r="N48" i="8"/>
  <c r="O3" i="8"/>
  <c r="O12" i="8"/>
  <c r="O26" i="8"/>
  <c r="O40" i="8"/>
  <c r="O51" i="7"/>
  <c r="O24" i="7"/>
  <c r="N28" i="7"/>
  <c r="O30" i="7"/>
  <c r="N34" i="7"/>
  <c r="O40" i="6"/>
  <c r="O42" i="6"/>
  <c r="N48" i="6"/>
  <c r="N4" i="6"/>
  <c r="O8" i="7"/>
  <c r="O57" i="7" l="1"/>
  <c r="Q48" i="8"/>
  <c r="G3" i="9"/>
  <c r="Q10" i="8"/>
  <c r="Q26" i="8"/>
  <c r="Q42" i="8"/>
  <c r="Q12" i="8"/>
  <c r="F4" i="9" s="1"/>
  <c r="Q28" i="8"/>
  <c r="Q44" i="8"/>
  <c r="Q3" i="8"/>
  <c r="Q14" i="8"/>
  <c r="Q30" i="8"/>
  <c r="Q46" i="8"/>
  <c r="Q4" i="8"/>
  <c r="G4" i="9"/>
  <c r="N55" i="7"/>
  <c r="N56" i="7"/>
  <c r="Q16" i="8"/>
  <c r="F3" i="9" s="1"/>
  <c r="N54" i="7"/>
  <c r="N57" i="7"/>
  <c r="O55" i="8"/>
  <c r="O57" i="8"/>
  <c r="Q24" i="8"/>
  <c r="Q40" i="8"/>
  <c r="Q53" i="8"/>
  <c r="E3" i="9"/>
  <c r="Q5" i="8"/>
  <c r="Q32" i="8"/>
  <c r="E4" i="9"/>
  <c r="O55" i="7"/>
  <c r="Q18" i="8"/>
  <c r="Q34" i="8"/>
  <c r="N55" i="8"/>
  <c r="Q50" i="8"/>
  <c r="Q6" i="8"/>
  <c r="Q20" i="8"/>
  <c r="Q36" i="8"/>
  <c r="Q51" i="8"/>
  <c r="Q57" i="8" s="1"/>
  <c r="Q7" i="8"/>
  <c r="Q22" i="8"/>
  <c r="Q38" i="8"/>
  <c r="Q52" i="8"/>
  <c r="Q54" i="8" s="1"/>
  <c r="Q8" i="8"/>
  <c r="L48" i="5"/>
  <c r="K48" i="5"/>
  <c r="J48" i="5"/>
  <c r="L46" i="5"/>
  <c r="K46" i="5"/>
  <c r="J46" i="5"/>
  <c r="L44" i="5"/>
  <c r="K44" i="5"/>
  <c r="J44" i="5"/>
  <c r="L42" i="5"/>
  <c r="K42" i="5"/>
  <c r="J42" i="5"/>
  <c r="L40" i="5"/>
  <c r="K40" i="5"/>
  <c r="J40" i="5"/>
  <c r="L38" i="5"/>
  <c r="K38" i="5"/>
  <c r="J38" i="5"/>
  <c r="L36" i="5"/>
  <c r="K36" i="5"/>
  <c r="J36" i="5"/>
  <c r="L34" i="5"/>
  <c r="K34" i="5"/>
  <c r="J34" i="5"/>
  <c r="L32" i="5"/>
  <c r="K32" i="5"/>
  <c r="J32" i="5"/>
  <c r="L30" i="5"/>
  <c r="K30" i="5"/>
  <c r="J30" i="5"/>
  <c r="L28" i="5"/>
  <c r="K28" i="5"/>
  <c r="J28" i="5"/>
  <c r="L26" i="5"/>
  <c r="K26" i="5"/>
  <c r="J26" i="5"/>
  <c r="L24" i="5"/>
  <c r="K24" i="5"/>
  <c r="J24" i="5"/>
  <c r="L22" i="5"/>
  <c r="K22" i="5"/>
  <c r="J22" i="5"/>
  <c r="L20" i="5"/>
  <c r="K20" i="5"/>
  <c r="J20" i="5"/>
  <c r="L18" i="5"/>
  <c r="K18" i="5"/>
  <c r="J18" i="5"/>
  <c r="L16" i="5"/>
  <c r="K16" i="5"/>
  <c r="J16" i="5"/>
  <c r="L14" i="5"/>
  <c r="K14" i="5"/>
  <c r="J14" i="5"/>
  <c r="L12" i="5"/>
  <c r="K12" i="5"/>
  <c r="J12" i="5"/>
  <c r="L10" i="5"/>
  <c r="K10" i="5"/>
  <c r="J10" i="5"/>
  <c r="L8" i="5"/>
  <c r="K8" i="5"/>
  <c r="J8" i="5"/>
  <c r="L7" i="5"/>
  <c r="K7" i="5"/>
  <c r="J7" i="5"/>
  <c r="I7" i="5"/>
  <c r="L6" i="5"/>
  <c r="K6" i="5"/>
  <c r="J6" i="5"/>
  <c r="I6" i="5"/>
  <c r="L5" i="5"/>
  <c r="K5" i="5"/>
  <c r="J5" i="5"/>
  <c r="I5" i="5"/>
  <c r="L4" i="5"/>
  <c r="K4" i="5"/>
  <c r="J4" i="5"/>
  <c r="I4" i="5"/>
  <c r="L3" i="5"/>
  <c r="K3" i="5"/>
  <c r="J3" i="5"/>
  <c r="I3" i="5"/>
  <c r="L2" i="5"/>
  <c r="K2" i="5"/>
  <c r="J2" i="5"/>
  <c r="I2" i="5"/>
  <c r="J51" i="3"/>
  <c r="K51" i="3"/>
  <c r="L51" i="3"/>
  <c r="J52" i="3"/>
  <c r="K52" i="3"/>
  <c r="L52" i="3"/>
  <c r="J53" i="3"/>
  <c r="K53" i="3"/>
  <c r="L53" i="3"/>
  <c r="L50" i="3"/>
  <c r="K50" i="3"/>
  <c r="J50" i="3"/>
  <c r="O46" i="5"/>
  <c r="O38" i="5"/>
  <c r="O30" i="5"/>
  <c r="O22" i="5"/>
  <c r="O14" i="5"/>
  <c r="O7" i="5"/>
  <c r="O6" i="5"/>
  <c r="N30" i="5"/>
  <c r="N6" i="5"/>
  <c r="N20" i="5"/>
  <c r="N42" i="5"/>
  <c r="N10" i="5"/>
  <c r="N32" i="5"/>
  <c r="N5" i="5"/>
  <c r="O34" i="5"/>
  <c r="O18" i="5"/>
  <c r="O8" i="5"/>
  <c r="N14" i="5"/>
  <c r="N4" i="5"/>
  <c r="N48" i="5"/>
  <c r="O48" i="5"/>
  <c r="O32" i="5"/>
  <c r="O3" i="5"/>
  <c r="N38" i="5"/>
  <c r="N28" i="5"/>
  <c r="N18" i="5"/>
  <c r="N40" i="5"/>
  <c r="N3" i="5"/>
  <c r="O44" i="5"/>
  <c r="O36" i="5"/>
  <c r="O28" i="5"/>
  <c r="O20" i="5"/>
  <c r="O12" i="5"/>
  <c r="O4" i="5"/>
  <c r="O2" i="5"/>
  <c r="N22" i="5"/>
  <c r="N44" i="5"/>
  <c r="N12" i="5"/>
  <c r="N34" i="5"/>
  <c r="N8" i="5"/>
  <c r="N24" i="5"/>
  <c r="O42" i="5"/>
  <c r="O26" i="5"/>
  <c r="O10" i="5"/>
  <c r="N46" i="5"/>
  <c r="N36" i="5"/>
  <c r="N26" i="5"/>
  <c r="N16" i="5"/>
  <c r="O40" i="5"/>
  <c r="O24" i="5"/>
  <c r="O16" i="5"/>
  <c r="O5" i="5"/>
  <c r="N7" i="5"/>
  <c r="N2" i="5"/>
  <c r="D3" i="9" l="1"/>
  <c r="D4" i="9"/>
  <c r="Q55" i="8"/>
  <c r="Q56" i="8" s="1"/>
  <c r="L48" i="3"/>
  <c r="K48" i="3"/>
  <c r="J48" i="3"/>
  <c r="L46" i="3"/>
  <c r="K46" i="3"/>
  <c r="J46" i="3"/>
  <c r="L44" i="3"/>
  <c r="K44" i="3"/>
  <c r="J44" i="3"/>
  <c r="L42" i="3"/>
  <c r="K42" i="3"/>
  <c r="J42" i="3"/>
  <c r="L40" i="3"/>
  <c r="K40" i="3"/>
  <c r="J40" i="3"/>
  <c r="L38" i="3"/>
  <c r="K38" i="3"/>
  <c r="J38" i="3"/>
  <c r="L36" i="3"/>
  <c r="K36" i="3"/>
  <c r="J36" i="3"/>
  <c r="L34" i="3"/>
  <c r="K34" i="3"/>
  <c r="J34" i="3"/>
  <c r="L32" i="3"/>
  <c r="K32" i="3"/>
  <c r="J32" i="3"/>
  <c r="L30" i="3"/>
  <c r="K30" i="3"/>
  <c r="J30" i="3"/>
  <c r="L28" i="3"/>
  <c r="K28" i="3"/>
  <c r="J28" i="3"/>
  <c r="L26" i="3"/>
  <c r="K26" i="3"/>
  <c r="J26" i="3"/>
  <c r="L24" i="3"/>
  <c r="K24" i="3"/>
  <c r="J24" i="3"/>
  <c r="L22" i="3"/>
  <c r="K22" i="3"/>
  <c r="J22" i="3"/>
  <c r="L20" i="3"/>
  <c r="K20" i="3"/>
  <c r="J20" i="3"/>
  <c r="L18" i="3"/>
  <c r="K18" i="3"/>
  <c r="J18" i="3"/>
  <c r="L16" i="3"/>
  <c r="K16" i="3"/>
  <c r="J16" i="3"/>
  <c r="L14" i="3"/>
  <c r="K14" i="3"/>
  <c r="J14" i="3"/>
  <c r="L12" i="3"/>
  <c r="K12" i="3"/>
  <c r="J12" i="3"/>
  <c r="L10" i="3"/>
  <c r="K10" i="3"/>
  <c r="J10" i="3"/>
  <c r="L8" i="3"/>
  <c r="K8" i="3"/>
  <c r="J8" i="3"/>
  <c r="L7" i="3"/>
  <c r="K7" i="3"/>
  <c r="J7" i="3"/>
  <c r="L6" i="3"/>
  <c r="K6" i="3"/>
  <c r="J6" i="3"/>
  <c r="L5" i="3"/>
  <c r="K5" i="3"/>
  <c r="J5" i="3"/>
  <c r="L4" i="3"/>
  <c r="K4" i="3"/>
  <c r="J4" i="3"/>
  <c r="L3" i="3"/>
  <c r="K3" i="3"/>
  <c r="J3" i="3"/>
  <c r="L2" i="3"/>
  <c r="K2" i="3"/>
  <c r="J2" i="3"/>
  <c r="L48" i="2"/>
  <c r="K48" i="2"/>
  <c r="J48" i="2"/>
  <c r="L46" i="2"/>
  <c r="K46" i="2"/>
  <c r="J46" i="2"/>
  <c r="L44" i="2"/>
  <c r="K44" i="2"/>
  <c r="J44" i="2"/>
  <c r="L42" i="2"/>
  <c r="K42" i="2"/>
  <c r="J42" i="2"/>
  <c r="L40" i="2"/>
  <c r="K40" i="2"/>
  <c r="J40" i="2"/>
  <c r="L38" i="2"/>
  <c r="K38" i="2"/>
  <c r="J38" i="2"/>
  <c r="L36" i="2"/>
  <c r="K36" i="2"/>
  <c r="J36" i="2"/>
  <c r="L34" i="2"/>
  <c r="K34" i="2"/>
  <c r="J34" i="2"/>
  <c r="L32" i="2"/>
  <c r="K32" i="2"/>
  <c r="J32" i="2"/>
  <c r="L30" i="2"/>
  <c r="K30" i="2"/>
  <c r="J30" i="2"/>
  <c r="L28" i="2"/>
  <c r="K28" i="2"/>
  <c r="J28" i="2"/>
  <c r="L26" i="2"/>
  <c r="K26" i="2"/>
  <c r="J26" i="2"/>
  <c r="L24" i="2"/>
  <c r="K24" i="2"/>
  <c r="J24" i="2"/>
  <c r="L22" i="2"/>
  <c r="K22" i="2"/>
  <c r="J22" i="2"/>
  <c r="L20" i="2"/>
  <c r="K20" i="2"/>
  <c r="J20" i="2"/>
  <c r="L18" i="2"/>
  <c r="K18" i="2"/>
  <c r="J18" i="2"/>
  <c r="L16" i="2"/>
  <c r="K16" i="2"/>
  <c r="J16" i="2"/>
  <c r="L14" i="2"/>
  <c r="K14" i="2"/>
  <c r="J14" i="2"/>
  <c r="L12" i="2"/>
  <c r="K12" i="2"/>
  <c r="J12" i="2"/>
  <c r="L10" i="2"/>
  <c r="K10" i="2"/>
  <c r="J10" i="2"/>
  <c r="L8" i="2"/>
  <c r="K8" i="2"/>
  <c r="J8" i="2"/>
  <c r="L7" i="2"/>
  <c r="K7" i="2"/>
  <c r="J7" i="2"/>
  <c r="L6" i="2"/>
  <c r="K6" i="2"/>
  <c r="J6" i="2"/>
  <c r="L5" i="2"/>
  <c r="K5" i="2"/>
  <c r="J5" i="2"/>
  <c r="L4" i="2"/>
  <c r="K4" i="2"/>
  <c r="J4" i="2"/>
  <c r="L3" i="2"/>
  <c r="K3" i="2"/>
  <c r="J3" i="2"/>
  <c r="L2" i="2"/>
  <c r="K2" i="2"/>
  <c r="J2" i="2"/>
  <c r="L2" i="1"/>
  <c r="L48" i="1"/>
  <c r="K48" i="1"/>
  <c r="J48" i="1"/>
  <c r="L46" i="1"/>
  <c r="K46" i="1"/>
  <c r="J46" i="1"/>
  <c r="L44" i="1"/>
  <c r="K44" i="1"/>
  <c r="J44" i="1"/>
  <c r="L42" i="1"/>
  <c r="K42" i="1"/>
  <c r="J42" i="1"/>
  <c r="L40" i="1"/>
  <c r="K40" i="1"/>
  <c r="J40" i="1"/>
  <c r="L38" i="1"/>
  <c r="K38" i="1"/>
  <c r="J38" i="1"/>
  <c r="L36" i="1"/>
  <c r="K36" i="1"/>
  <c r="J36" i="1"/>
  <c r="L34" i="1"/>
  <c r="K34" i="1"/>
  <c r="J34" i="1"/>
  <c r="L30" i="1"/>
  <c r="K30" i="1"/>
  <c r="J30" i="1"/>
  <c r="L28" i="1"/>
  <c r="K28" i="1"/>
  <c r="J28" i="1"/>
  <c r="L26" i="1"/>
  <c r="K26" i="1"/>
  <c r="J26" i="1"/>
  <c r="L24" i="1"/>
  <c r="K24" i="1"/>
  <c r="J24" i="1"/>
  <c r="L22" i="1"/>
  <c r="K22" i="1"/>
  <c r="J22" i="1"/>
  <c r="L20" i="1"/>
  <c r="K20" i="1"/>
  <c r="J20" i="1"/>
  <c r="L18" i="1"/>
  <c r="K18" i="1"/>
  <c r="J18" i="1"/>
  <c r="L16" i="1"/>
  <c r="K16" i="1"/>
  <c r="J16" i="1"/>
  <c r="L14" i="1"/>
  <c r="K14" i="1"/>
  <c r="J14" i="1"/>
  <c r="L12" i="1"/>
  <c r="K12" i="1"/>
  <c r="J12" i="1"/>
  <c r="L10" i="1"/>
  <c r="K10" i="1"/>
  <c r="J10" i="1"/>
  <c r="L8" i="1"/>
  <c r="K8" i="1"/>
  <c r="J8" i="1"/>
  <c r="L7" i="1"/>
  <c r="K7" i="1"/>
  <c r="J7" i="1"/>
  <c r="I7" i="1"/>
  <c r="L6" i="1"/>
  <c r="K6" i="1"/>
  <c r="J6" i="1"/>
  <c r="I6" i="1"/>
  <c r="L5" i="1"/>
  <c r="K5" i="1"/>
  <c r="J5" i="1"/>
  <c r="I5" i="1"/>
  <c r="L4" i="1"/>
  <c r="K4" i="1"/>
  <c r="J4" i="1"/>
  <c r="I4" i="1"/>
  <c r="I3" i="1"/>
  <c r="I2" i="1"/>
  <c r="L3" i="1"/>
  <c r="K3" i="1"/>
  <c r="J3" i="1"/>
  <c r="K2" i="1"/>
  <c r="J2" i="1"/>
  <c r="L32" i="1"/>
  <c r="K32" i="1"/>
  <c r="J32" i="1"/>
</calcChain>
</file>

<file path=xl/sharedStrings.xml><?xml version="1.0" encoding="utf-8"?>
<sst xmlns="http://schemas.openxmlformats.org/spreadsheetml/2006/main" count="724" uniqueCount="103">
  <si>
    <t>id</t>
  </si>
  <si>
    <t>AADT</t>
  </si>
  <si>
    <t>AM Avg Spe</t>
  </si>
  <si>
    <t>PM Avg Spe</t>
  </si>
  <si>
    <t>Max Speed</t>
  </si>
  <si>
    <t>AM HGV %</t>
  </si>
  <si>
    <t>PM HGV %</t>
  </si>
  <si>
    <t>A19 SB M</t>
  </si>
  <si>
    <t>A19 NB M</t>
  </si>
  <si>
    <t>A19 SB South</t>
  </si>
  <si>
    <t>A19 NB South</t>
  </si>
  <si>
    <t>A19 SB North</t>
  </si>
  <si>
    <t>A19 NB North</t>
  </si>
  <si>
    <t>North Ln SB N1</t>
  </si>
  <si>
    <t>North Ln NB N1</t>
  </si>
  <si>
    <t>North Ln SB N2</t>
  </si>
  <si>
    <t>North Ln NB N2</t>
  </si>
  <si>
    <t>North Ln SB N3</t>
  </si>
  <si>
    <t>North Ln NB N3</t>
  </si>
  <si>
    <t>North Ln SB N4</t>
  </si>
  <si>
    <t>North Ln NB N4</t>
  </si>
  <si>
    <t>Elwick Rd WB W1</t>
  </si>
  <si>
    <t>Elwick Rd EB W1</t>
  </si>
  <si>
    <t>Elwick Rd WB W2</t>
  </si>
  <si>
    <t>Elwick Rd EB W2</t>
  </si>
  <si>
    <t>Elwick Rd EB W3</t>
  </si>
  <si>
    <t>Elwick Rd WB W3</t>
  </si>
  <si>
    <t>Elwick Rd WB W4</t>
  </si>
  <si>
    <t>Elwick Rd EB W4</t>
  </si>
  <si>
    <t>Elwick Rd WB W5</t>
  </si>
  <si>
    <t>Elwick Rd EB W5</t>
  </si>
  <si>
    <t>Elwick Rd para WB W1</t>
  </si>
  <si>
    <t>Elwick Rd para EB W1</t>
  </si>
  <si>
    <t>Elwikc Rd para WB W2</t>
  </si>
  <si>
    <t>Elwikc Rd para EB W2</t>
  </si>
  <si>
    <t>Coal Ln EB</t>
  </si>
  <si>
    <t>Coal Ln WB</t>
  </si>
  <si>
    <t>Hillcrest Grove Wb</t>
  </si>
  <si>
    <t>Hillcrest Grove EB</t>
  </si>
  <si>
    <t>North Close WB</t>
  </si>
  <si>
    <t>North Close EB</t>
  </si>
  <si>
    <t>Greenlea WB</t>
  </si>
  <si>
    <t>Greenlea EB</t>
  </si>
  <si>
    <t>Manor close NB</t>
  </si>
  <si>
    <t>Manor close SB</t>
  </si>
  <si>
    <t>Manor Close Brige NB</t>
  </si>
  <si>
    <t>Manor Close Bridge SB</t>
  </si>
  <si>
    <t>Mannor Close SB South</t>
  </si>
  <si>
    <t>Mannor Close NR South</t>
  </si>
  <si>
    <t>Worste Ln SB</t>
  </si>
  <si>
    <t>Worste Ln NB</t>
  </si>
  <si>
    <t>A179 WB</t>
  </si>
  <si>
    <t>A179 EB</t>
  </si>
  <si>
    <t>Rd btw Worset and Elwick SB</t>
  </si>
  <si>
    <t>Rd btw Worset and Elwick NB</t>
  </si>
  <si>
    <t>New slip road from A19 south</t>
  </si>
  <si>
    <t>New slip road to A19 north</t>
  </si>
  <si>
    <t>New bypass link road EB</t>
  </si>
  <si>
    <t>New bypass link road WB</t>
  </si>
  <si>
    <t>Manor Close</t>
  </si>
  <si>
    <t>North Close</t>
  </si>
  <si>
    <t>Hillcrest Grove</t>
  </si>
  <si>
    <t>Greenlea</t>
  </si>
  <si>
    <t>AM and PM average HGV %</t>
  </si>
  <si>
    <t>North Ln N1</t>
  </si>
  <si>
    <t>North Ln N4</t>
  </si>
  <si>
    <t>North Ln N2</t>
  </si>
  <si>
    <t>North Ln N3</t>
  </si>
  <si>
    <t>Mannor Close South</t>
  </si>
  <si>
    <t>Max Speed, km/h</t>
  </si>
  <si>
    <t>A179</t>
  </si>
  <si>
    <t>Manor Close Brige</t>
  </si>
  <si>
    <t>Worset Ln</t>
  </si>
  <si>
    <t>Elwick Rd para W1</t>
  </si>
  <si>
    <t>Elwick Rd para W2</t>
  </si>
  <si>
    <t>Network</t>
  </si>
  <si>
    <t>AAWT</t>
  </si>
  <si>
    <t>HGV%</t>
  </si>
  <si>
    <t>AAWT Future year</t>
  </si>
  <si>
    <t>Increase factor 1.19</t>
  </si>
  <si>
    <t>AAWT baseline year</t>
  </si>
  <si>
    <t>New slip road to A19 south is assumed the same as this road</t>
  </si>
  <si>
    <t>New slip road from A19 North</t>
  </si>
  <si>
    <t>New bypass link road</t>
  </si>
  <si>
    <t>between A19 and the new roundabout</t>
  </si>
  <si>
    <t>New slip road to A19  south</t>
  </si>
  <si>
    <t>Notes of road traffic data</t>
  </si>
  <si>
    <t>ID</t>
  </si>
  <si>
    <t>Elwick Rd W1</t>
  </si>
  <si>
    <t>Elwick Rd W2</t>
  </si>
  <si>
    <t>Elwick Rd  W3</t>
  </si>
  <si>
    <t>Elwick Rd  W4</t>
  </si>
  <si>
    <t>Elwick Rd  W5</t>
  </si>
  <si>
    <t>Elwick Rd  W1</t>
  </si>
  <si>
    <t>Elwick Rd  W2</t>
  </si>
  <si>
    <t>base line</t>
  </si>
  <si>
    <t>DS 2016</t>
  </si>
  <si>
    <t>DS 2030</t>
  </si>
  <si>
    <t>DM 2030</t>
  </si>
  <si>
    <t>AAWT 2016</t>
  </si>
  <si>
    <t>AAWT 2015 baseline</t>
  </si>
  <si>
    <t>Growing factor</t>
  </si>
  <si>
    <t>DM2016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</si>
</sst>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2" borderId="1" applyNumberFormat="0" applyFont="0" applyAlignment="0" applyProtection="0"/>
    <xf numFmtId="0" fontId="3" fillId="3" borderId="0" applyNumberFormat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2" fillId="2" borderId="1" xfId="1" applyFont="1"/>
    <xf numFmtId="0" fontId="0" fillId="2" borderId="1" xfId="1" applyFont="1"/>
    <xf numFmtId="0" fontId="3" fillId="3" borderId="0" xfId="2"/>
    <xf numFmtId="1" fontId="3" fillId="3" borderId="0" xfId="2" applyNumberFormat="1"/>
    <xf numFmtId="0" fontId="3" fillId="3" borderId="0" xfId="2" applyAlignment="1">
      <alignment horizontal="center"/>
    </xf>
    <xf numFmtId="1" fontId="3" fillId="3" borderId="0" xfId="2" applyNumberFormat="1" applyAlignment="1">
      <alignment horizontal="center"/>
    </xf>
    <xf numFmtId="0" fontId="0" fillId="0" borderId="0" xfId="0" applyAlignment="1">
      <alignment horizontal="center"/>
    </xf>
    <xf numFmtId="0" fontId="3" fillId="3" borderId="0" xfId="2" applyAlignment="1">
      <alignment horizontal="center" vertical="center"/>
    </xf>
    <xf numFmtId="1" fontId="3" fillId="3" borderId="0" xfId="2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9" fontId="3" fillId="3" borderId="0" xfId="3" applyFont="1" applyFill="1" applyAlignment="1">
      <alignment horizontal="center" vertical="center"/>
    </xf>
    <xf numFmtId="9" fontId="0" fillId="0" borderId="0" xfId="3" applyFont="1" applyAlignment="1">
      <alignment horizontal="center" vertical="center"/>
    </xf>
    <xf numFmtId="1" fontId="0" fillId="0" borderId="0" xfId="0" applyNumberFormat="1"/>
    <xf numFmtId="9" fontId="3" fillId="3" borderId="0" xfId="3" applyFont="1" applyFill="1"/>
    <xf numFmtId="9" fontId="0" fillId="0" borderId="0" xfId="3" applyFont="1"/>
    <xf numFmtId="1" fontId="3" fillId="3" borderId="0" xfId="3" applyNumberFormat="1" applyFont="1" applyFill="1"/>
    <xf numFmtId="9" fontId="3" fillId="3" borderId="0" xfId="3" applyFont="1" applyFill="1" applyAlignment="1">
      <alignment horizontal="center"/>
    </xf>
    <xf numFmtId="9" fontId="0" fillId="0" borderId="0" xfId="3" applyFon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</cellXfs>
  <cellStyles count="4">
    <cellStyle name="Accent5" xfId="2" builtinId="45"/>
    <cellStyle name="Normal" xfId="0" builtinId="0"/>
    <cellStyle name="Note" xfId="1" builtinId="1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'Unusual data'!$C$3</c:f>
              <c:strCache>
                <c:ptCount val="1"/>
                <c:pt idx="0">
                  <c:v>Elwick Rd W1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'Unusual data'!$D$2:$G$2</c:f>
              <c:strCache>
                <c:ptCount val="4"/>
                <c:pt idx="0">
                  <c:v>base line</c:v>
                </c:pt>
                <c:pt idx="1">
                  <c:v>DM 2030</c:v>
                </c:pt>
                <c:pt idx="2">
                  <c:v>DS 2016</c:v>
                </c:pt>
                <c:pt idx="3">
                  <c:v>DS 2030</c:v>
                </c:pt>
              </c:strCache>
            </c:strRef>
          </c:cat>
          <c:val>
            <c:numRef>
              <c:f>'Unusual data'!$D$3:$G$3</c:f>
              <c:numCache>
                <c:formatCode>0</c:formatCode>
                <c:ptCount val="4"/>
                <c:pt idx="0">
                  <c:v>2467.7876901999998</c:v>
                </c:pt>
                <c:pt idx="1">
                  <c:v>2872.6963416666667</c:v>
                </c:pt>
                <c:pt idx="2">
                  <c:v>69.396846323529402</c:v>
                </c:pt>
                <c:pt idx="3">
                  <c:v>82.582247124999981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2D-4AC5-ABA4-7E21F0314175}"/>
            </c:ext>
          </c:extLst>
        </c:ser>
        <c:ser>
          <c:idx val="1"/>
          <c:order val="1"/>
          <c:tx>
            <c:strRef>
              <c:f>'Unusual data'!$C$4</c:f>
              <c:strCache>
                <c:ptCount val="1"/>
                <c:pt idx="0">
                  <c:v>North Ln 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'Unusual data'!$D$2:$G$2</c:f>
              <c:strCache>
                <c:ptCount val="4"/>
                <c:pt idx="0">
                  <c:v>base line</c:v>
                </c:pt>
                <c:pt idx="1">
                  <c:v>DM 2030</c:v>
                </c:pt>
                <c:pt idx="2">
                  <c:v>DS 2016</c:v>
                </c:pt>
                <c:pt idx="3">
                  <c:v>DS 2030</c:v>
                </c:pt>
              </c:strCache>
            </c:strRef>
          </c:cat>
          <c:val>
            <c:numRef>
              <c:f>'Unusual data'!$D$4:$G$4</c:f>
              <c:numCache>
                <c:formatCode>0</c:formatCode>
                <c:ptCount val="4"/>
                <c:pt idx="0">
                  <c:v>977.43035944166684</c:v>
                </c:pt>
                <c:pt idx="1">
                  <c:v>1269.673685</c:v>
                </c:pt>
                <c:pt idx="2">
                  <c:v>91.17833823529412</c:v>
                </c:pt>
                <c:pt idx="3">
                  <c:v>108.5022225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2D-4AC5-ABA4-7E21F0314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6334080"/>
        <c:axId val="456336376"/>
      </c:barChart>
      <c:catAx>
        <c:axId val="456334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Scenario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36376"/>
        <c:crosses val="autoZero"/>
        <c:auto val="1"/>
        <c:lblAlgn val="ctr"/>
        <c:lblOffset val="100"/>
        <c:noMultiLvlLbl val="0"/>
      </c:catAx>
      <c:valAx>
        <c:axId val="45633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AAWT 18hr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3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1</xdr:row>
      <xdr:rowOff>28575</xdr:rowOff>
    </xdr:from>
    <xdr:to>
      <xdr:col>18</xdr:col>
      <xdr:colOff>314325</xdr:colOff>
      <xdr:row>15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D717788-50C4-4480-A18F-5D999EA2D2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14999847407452621"/>
  </sheetPr>
  <dimension ref="A1:L49"/>
  <sheetViews>
    <sheetView workbookViewId="0">
      <selection activeCell="P11" sqref="P10:P11"/>
    </sheetView>
  </sheetViews>
  <sheetFormatPr defaultRowHeight="15" x14ac:dyDescent="0.25"/>
  <cols>
    <col min="1" max="1" width="6" bestFit="1" customWidth="1"/>
    <col min="2" max="2" width="13.5703125" customWidth="1"/>
    <col min="3" max="3" width="11.42578125" bestFit="1" customWidth="1"/>
    <col min="4" max="4" width="11.28515625" bestFit="1" customWidth="1"/>
    <col min="5" max="5" width="10.7109375" bestFit="1" customWidth="1"/>
    <col min="6" max="6" width="15.7109375" bestFit="1" customWidth="1"/>
    <col min="8" max="8" width="27.28515625" bestFit="1" customWidth="1"/>
    <col min="9" max="9" width="24" customWidth="1"/>
    <col min="10" max="10" width="11" bestFit="1" customWidth="1"/>
    <col min="11" max="11" width="16.5703125" bestFit="1" customWidth="1"/>
    <col min="12" max="12" width="25.140625" bestFit="1" customWidth="1"/>
    <col min="13" max="13" width="10.7109375" bestFit="1" customWidth="1"/>
    <col min="14" max="14" width="10.28515625" bestFit="1" customWidth="1"/>
    <col min="15" max="15" width="10.1406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J1" t="s">
        <v>1</v>
      </c>
      <c r="K1" t="s">
        <v>69</v>
      </c>
      <c r="L1" t="s">
        <v>63</v>
      </c>
    </row>
    <row r="2" spans="1:12" x14ac:dyDescent="0.25">
      <c r="A2" s="1">
        <v>504</v>
      </c>
      <c r="B2" s="1">
        <v>25583.8959</v>
      </c>
      <c r="C2" s="1">
        <v>97.331379999999996</v>
      </c>
      <c r="D2" s="1">
        <v>100.00064999999999</v>
      </c>
      <c r="E2" s="1">
        <v>120</v>
      </c>
      <c r="F2" s="1">
        <v>0.11699</v>
      </c>
      <c r="G2" s="1">
        <v>5.6550000000000003E-2</v>
      </c>
      <c r="H2" s="1" t="s">
        <v>12</v>
      </c>
      <c r="I2" t="str">
        <f t="shared" ref="I2:I7" si="0">H2</f>
        <v>A19 NB North</v>
      </c>
      <c r="J2">
        <f t="shared" ref="J2:J7" si="1">B2</f>
        <v>25583.8959</v>
      </c>
      <c r="K2">
        <f t="shared" ref="K2:K7" si="2">E2</f>
        <v>120</v>
      </c>
      <c r="L2">
        <f t="shared" ref="L2:L7" si="3">AVERAGE(F2:G2)</f>
        <v>8.677E-2</v>
      </c>
    </row>
    <row r="3" spans="1:12" x14ac:dyDescent="0.25">
      <c r="A3" s="1">
        <v>48032</v>
      </c>
      <c r="B3" s="1">
        <v>26959.770199999999</v>
      </c>
      <c r="C3" s="1">
        <v>100.27408</v>
      </c>
      <c r="D3" s="1">
        <v>102.22439</v>
      </c>
      <c r="E3" s="1">
        <v>120</v>
      </c>
      <c r="F3" s="1">
        <v>8.3960000000000007E-2</v>
      </c>
      <c r="G3" s="1">
        <v>7.1489999999999998E-2</v>
      </c>
      <c r="H3" s="1" t="s">
        <v>11</v>
      </c>
      <c r="I3" t="str">
        <f t="shared" si="0"/>
        <v>A19 SB North</v>
      </c>
      <c r="J3">
        <f t="shared" si="1"/>
        <v>26959.770199999999</v>
      </c>
      <c r="K3">
        <f t="shared" si="2"/>
        <v>120</v>
      </c>
      <c r="L3">
        <f t="shared" si="3"/>
        <v>7.7725000000000002E-2</v>
      </c>
    </row>
    <row r="4" spans="1:12" x14ac:dyDescent="0.25">
      <c r="A4" s="2">
        <v>47938</v>
      </c>
      <c r="B4" s="2">
        <v>27014.796399999999</v>
      </c>
      <c r="C4" s="2">
        <v>100.41064</v>
      </c>
      <c r="D4" s="2">
        <v>102.11908</v>
      </c>
      <c r="E4" s="2">
        <v>120</v>
      </c>
      <c r="F4" s="2">
        <v>8.4220000000000003E-2</v>
      </c>
      <c r="G4" s="2">
        <v>7.1419999999999997E-2</v>
      </c>
      <c r="H4" s="2" t="s">
        <v>7</v>
      </c>
      <c r="I4" t="str">
        <f t="shared" si="0"/>
        <v>A19 SB M</v>
      </c>
      <c r="J4">
        <f t="shared" si="1"/>
        <v>27014.796399999999</v>
      </c>
      <c r="K4">
        <f t="shared" si="2"/>
        <v>120</v>
      </c>
      <c r="L4">
        <f t="shared" si="3"/>
        <v>7.782E-2</v>
      </c>
    </row>
    <row r="5" spans="1:12" x14ac:dyDescent="0.25">
      <c r="A5" s="2">
        <v>48042</v>
      </c>
      <c r="B5" s="2">
        <v>25450.1669</v>
      </c>
      <c r="C5" s="2">
        <v>99.644310000000004</v>
      </c>
      <c r="D5" s="2">
        <v>94.289209999999997</v>
      </c>
      <c r="E5" s="2">
        <v>120</v>
      </c>
      <c r="F5" s="2">
        <v>0.11736000000000001</v>
      </c>
      <c r="G5" s="2">
        <v>5.3350000000000002E-2</v>
      </c>
      <c r="H5" s="2" t="s">
        <v>8</v>
      </c>
      <c r="I5" t="str">
        <f t="shared" si="0"/>
        <v>A19 NB M</v>
      </c>
      <c r="J5">
        <f t="shared" si="1"/>
        <v>25450.1669</v>
      </c>
      <c r="K5">
        <f t="shared" si="2"/>
        <v>120</v>
      </c>
      <c r="L5">
        <f t="shared" si="3"/>
        <v>8.5355E-2</v>
      </c>
    </row>
    <row r="6" spans="1:12" x14ac:dyDescent="0.25">
      <c r="A6" s="2">
        <v>47939</v>
      </c>
      <c r="B6" s="2">
        <v>26468.699700000001</v>
      </c>
      <c r="C6" s="2">
        <v>99.692880000000002</v>
      </c>
      <c r="D6" s="2">
        <v>75.877449999999996</v>
      </c>
      <c r="E6" s="2">
        <v>120</v>
      </c>
      <c r="F6" s="2">
        <v>0.11576</v>
      </c>
      <c r="G6" s="2">
        <v>5.0180000000000002E-2</v>
      </c>
      <c r="H6" s="2" t="s">
        <v>10</v>
      </c>
      <c r="I6" t="str">
        <f t="shared" si="0"/>
        <v>A19 NB South</v>
      </c>
      <c r="J6">
        <f t="shared" si="1"/>
        <v>26468.699700000001</v>
      </c>
      <c r="K6">
        <f t="shared" si="2"/>
        <v>120</v>
      </c>
      <c r="L6">
        <f t="shared" si="3"/>
        <v>8.2970000000000002E-2</v>
      </c>
    </row>
    <row r="7" spans="1:12" x14ac:dyDescent="0.25">
      <c r="A7" s="2">
        <v>48061</v>
      </c>
      <c r="B7" s="2">
        <v>28015.133300000001</v>
      </c>
      <c r="C7" s="2">
        <v>97.413499999999999</v>
      </c>
      <c r="D7" s="2">
        <v>100.52861</v>
      </c>
      <c r="E7" s="2">
        <v>120</v>
      </c>
      <c r="F7" s="2">
        <v>7.9799999999999996E-2</v>
      </c>
      <c r="G7" s="2">
        <v>7.0499999999999993E-2</v>
      </c>
      <c r="H7" s="2" t="s">
        <v>9</v>
      </c>
      <c r="I7" t="str">
        <f t="shared" si="0"/>
        <v>A19 SB South</v>
      </c>
      <c r="J7">
        <f t="shared" si="1"/>
        <v>28015.133300000001</v>
      </c>
      <c r="K7">
        <f t="shared" si="2"/>
        <v>120</v>
      </c>
      <c r="L7">
        <f t="shared" si="3"/>
        <v>7.5149999999999995E-2</v>
      </c>
    </row>
    <row r="8" spans="1:12" x14ac:dyDescent="0.25">
      <c r="A8">
        <v>48055</v>
      </c>
      <c r="B8">
        <v>301.4384</v>
      </c>
      <c r="C8">
        <v>50.063830000000003</v>
      </c>
      <c r="D8">
        <v>49.647730000000003</v>
      </c>
      <c r="E8">
        <v>50</v>
      </c>
      <c r="F8">
        <v>0.18067</v>
      </c>
      <c r="G8">
        <v>0.31183</v>
      </c>
      <c r="H8" t="s">
        <v>14</v>
      </c>
      <c r="I8" t="s">
        <v>64</v>
      </c>
      <c r="J8">
        <f>B8+B9</f>
        <v>520.88549999999998</v>
      </c>
      <c r="K8">
        <f>MAX(E8:E9)</f>
        <v>50</v>
      </c>
      <c r="L8">
        <f>AVERAGE(F8:G9)</f>
        <v>0.1933175</v>
      </c>
    </row>
    <row r="9" spans="1:12" x14ac:dyDescent="0.25">
      <c r="A9">
        <v>49272</v>
      </c>
      <c r="B9">
        <v>219.44710000000001</v>
      </c>
      <c r="C9">
        <v>52.185560000000002</v>
      </c>
      <c r="D9">
        <v>51.889499999999998</v>
      </c>
      <c r="E9">
        <v>50</v>
      </c>
      <c r="F9">
        <v>0.22642000000000001</v>
      </c>
      <c r="G9">
        <v>5.4350000000000002E-2</v>
      </c>
      <c r="H9" t="s">
        <v>13</v>
      </c>
    </row>
    <row r="10" spans="1:12" x14ac:dyDescent="0.25">
      <c r="A10">
        <v>49278</v>
      </c>
      <c r="B10">
        <v>324.67649999999998</v>
      </c>
      <c r="C10">
        <v>30.073830000000001</v>
      </c>
      <c r="D10">
        <v>31.645520000000001</v>
      </c>
      <c r="E10">
        <v>32</v>
      </c>
      <c r="F10">
        <v>0.14771000000000001</v>
      </c>
      <c r="G10">
        <v>0.18609999999999999</v>
      </c>
      <c r="H10" t="s">
        <v>16</v>
      </c>
      <c r="I10" t="s">
        <v>66</v>
      </c>
      <c r="J10">
        <f>B10+B11</f>
        <v>727.39819999999997</v>
      </c>
      <c r="K10">
        <f>MAX(E10:E11)</f>
        <v>32</v>
      </c>
      <c r="L10">
        <f>AVERAGE(F10:G11)</f>
        <v>0.108525</v>
      </c>
    </row>
    <row r="11" spans="1:12" x14ac:dyDescent="0.25">
      <c r="A11">
        <v>49294</v>
      </c>
      <c r="B11">
        <v>402.7217</v>
      </c>
      <c r="C11">
        <v>30.06204</v>
      </c>
      <c r="D11">
        <v>31.975159999999999</v>
      </c>
      <c r="E11">
        <v>32</v>
      </c>
      <c r="F11">
        <v>6.9769999999999999E-2</v>
      </c>
      <c r="G11">
        <v>3.0519999999999999E-2</v>
      </c>
      <c r="H11" t="s">
        <v>15</v>
      </c>
    </row>
    <row r="12" spans="1:12" x14ac:dyDescent="0.25">
      <c r="A12">
        <v>49291</v>
      </c>
      <c r="B12">
        <v>407.54469999999998</v>
      </c>
      <c r="C12">
        <v>33.627049999999997</v>
      </c>
      <c r="D12">
        <v>33.630949999999999</v>
      </c>
      <c r="E12">
        <v>32</v>
      </c>
      <c r="F12">
        <v>6.2210000000000001E-2</v>
      </c>
      <c r="G12">
        <v>8.3879999999999996E-2</v>
      </c>
      <c r="H12" t="s">
        <v>18</v>
      </c>
      <c r="I12" t="s">
        <v>67</v>
      </c>
      <c r="J12">
        <f>B12+B13</f>
        <v>1053.1709000000001</v>
      </c>
      <c r="K12">
        <f>MAX(E12:E13)</f>
        <v>32</v>
      </c>
      <c r="L12">
        <f>AVERAGE(F12:G13)</f>
        <v>5.3970000000000004E-2</v>
      </c>
    </row>
    <row r="13" spans="1:12" x14ac:dyDescent="0.25">
      <c r="A13">
        <v>49304</v>
      </c>
      <c r="B13">
        <v>645.62620000000004</v>
      </c>
      <c r="C13">
        <v>34.018569999999997</v>
      </c>
      <c r="D13">
        <v>34.081249999999997</v>
      </c>
      <c r="E13">
        <v>32</v>
      </c>
      <c r="F13">
        <v>4.2590000000000003E-2</v>
      </c>
      <c r="G13">
        <v>2.7199999999999998E-2</v>
      </c>
      <c r="H13" t="s">
        <v>17</v>
      </c>
    </row>
    <row r="14" spans="1:12" x14ac:dyDescent="0.25">
      <c r="A14">
        <v>5658</v>
      </c>
      <c r="B14">
        <v>879.54229999999995</v>
      </c>
      <c r="C14">
        <v>28.220320000000001</v>
      </c>
      <c r="D14">
        <v>27.72025</v>
      </c>
      <c r="E14">
        <v>32</v>
      </c>
      <c r="F14">
        <v>4.3360000000000003E-2</v>
      </c>
      <c r="G14">
        <v>2.579E-2</v>
      </c>
      <c r="H14" t="s">
        <v>19</v>
      </c>
      <c r="I14" t="s">
        <v>65</v>
      </c>
      <c r="J14">
        <f>B14+B15</f>
        <v>1417.0890999999999</v>
      </c>
      <c r="K14">
        <f>MAX(E14:E15)</f>
        <v>32</v>
      </c>
      <c r="L14">
        <f>AVERAGE(F14:G15)</f>
        <v>3.9675000000000002E-2</v>
      </c>
    </row>
    <row r="15" spans="1:12" x14ac:dyDescent="0.25">
      <c r="A15">
        <v>49307</v>
      </c>
      <c r="B15">
        <v>537.54679999999996</v>
      </c>
      <c r="C15">
        <v>33.569540000000003</v>
      </c>
      <c r="D15">
        <v>33.72307</v>
      </c>
      <c r="E15">
        <v>32</v>
      </c>
      <c r="F15">
        <v>5.7290000000000001E-2</v>
      </c>
      <c r="G15">
        <v>3.2259999999999997E-2</v>
      </c>
      <c r="H15" t="s">
        <v>20</v>
      </c>
    </row>
    <row r="16" spans="1:12" x14ac:dyDescent="0.25">
      <c r="A16">
        <v>4843</v>
      </c>
      <c r="B16">
        <v>1246.5298</v>
      </c>
      <c r="C16">
        <v>51.845460000000003</v>
      </c>
      <c r="D16">
        <v>52.049990000000001</v>
      </c>
      <c r="E16">
        <v>50</v>
      </c>
      <c r="F16">
        <v>4.9579999999999999E-2</v>
      </c>
      <c r="G16">
        <v>1.0540000000000001E-2</v>
      </c>
      <c r="H16" t="s">
        <v>22</v>
      </c>
      <c r="I16" t="s">
        <v>22</v>
      </c>
      <c r="J16">
        <f>B16+B17</f>
        <v>2659.0151999999998</v>
      </c>
      <c r="K16">
        <f>MAX(E16:E17)</f>
        <v>50</v>
      </c>
      <c r="L16">
        <f>AVERAGE(F16:G17)</f>
        <v>3.3345E-2</v>
      </c>
    </row>
    <row r="17" spans="1:12" x14ac:dyDescent="0.25">
      <c r="A17">
        <v>47962</v>
      </c>
      <c r="B17">
        <v>1412.4854</v>
      </c>
      <c r="C17">
        <v>50.081220000000002</v>
      </c>
      <c r="D17">
        <v>50.176380000000002</v>
      </c>
      <c r="E17">
        <v>50</v>
      </c>
      <c r="F17">
        <v>1.5910000000000001E-2</v>
      </c>
      <c r="G17">
        <v>5.7349999999999998E-2</v>
      </c>
      <c r="H17" t="s">
        <v>21</v>
      </c>
    </row>
    <row r="18" spans="1:12" x14ac:dyDescent="0.25">
      <c r="A18">
        <v>3097</v>
      </c>
      <c r="B18">
        <v>1917.8056999999999</v>
      </c>
      <c r="C18">
        <v>48.5291</v>
      </c>
      <c r="D18">
        <v>44.874879999999997</v>
      </c>
      <c r="E18">
        <v>50</v>
      </c>
      <c r="F18">
        <v>2.299E-2</v>
      </c>
      <c r="G18">
        <v>4.48E-2</v>
      </c>
      <c r="H18" t="s">
        <v>23</v>
      </c>
      <c r="I18" t="s">
        <v>24</v>
      </c>
      <c r="J18">
        <f>B18+B19</f>
        <v>3977.0133999999998</v>
      </c>
      <c r="K18">
        <f>MAX(E18:E19)</f>
        <v>50</v>
      </c>
      <c r="L18">
        <f>AVERAGE(F18:G19)</f>
        <v>3.2452500000000002E-2</v>
      </c>
    </row>
    <row r="19" spans="1:12" x14ac:dyDescent="0.25">
      <c r="A19">
        <v>48211</v>
      </c>
      <c r="B19">
        <v>2059.2076999999999</v>
      </c>
      <c r="C19">
        <v>43.885910000000003</v>
      </c>
      <c r="D19">
        <v>45.174860000000002</v>
      </c>
      <c r="E19">
        <v>50</v>
      </c>
      <c r="F19">
        <v>4.6260000000000003E-2</v>
      </c>
      <c r="G19">
        <v>1.576E-2</v>
      </c>
      <c r="H19" t="s">
        <v>24</v>
      </c>
    </row>
    <row r="20" spans="1:12" x14ac:dyDescent="0.25">
      <c r="A20">
        <v>43145</v>
      </c>
      <c r="B20">
        <v>2165.5331999999999</v>
      </c>
      <c r="C20">
        <v>50.443910000000002</v>
      </c>
      <c r="D20">
        <v>50.293930000000003</v>
      </c>
      <c r="E20">
        <v>50</v>
      </c>
      <c r="F20">
        <v>2.383E-2</v>
      </c>
      <c r="G20">
        <v>1.6219999999999998E-2</v>
      </c>
      <c r="H20" t="s">
        <v>26</v>
      </c>
      <c r="I20" t="s">
        <v>25</v>
      </c>
      <c r="J20">
        <f>B20+B21</f>
        <v>4820.1638000000003</v>
      </c>
      <c r="K20">
        <f>MAX(E20:E21)</f>
        <v>50</v>
      </c>
      <c r="L20">
        <f>AVERAGE(F20:G21)</f>
        <v>2.6127500000000001E-2</v>
      </c>
    </row>
    <row r="21" spans="1:12" x14ac:dyDescent="0.25">
      <c r="A21">
        <v>49907</v>
      </c>
      <c r="B21">
        <v>2654.6306</v>
      </c>
      <c r="C21">
        <v>49.24024</v>
      </c>
      <c r="D21">
        <v>50.213189999999997</v>
      </c>
      <c r="E21">
        <v>50</v>
      </c>
      <c r="F21">
        <v>4.4409999999999998E-2</v>
      </c>
      <c r="G21">
        <v>2.0049999999999998E-2</v>
      </c>
      <c r="H21" t="s">
        <v>25</v>
      </c>
    </row>
    <row r="22" spans="1:12" x14ac:dyDescent="0.25">
      <c r="A22">
        <v>5661</v>
      </c>
      <c r="B22">
        <v>2662.0844000000002</v>
      </c>
      <c r="C22">
        <v>53.462510000000002</v>
      </c>
      <c r="D22">
        <v>53.125450000000001</v>
      </c>
      <c r="E22">
        <v>50</v>
      </c>
      <c r="F22">
        <v>4.4170000000000001E-2</v>
      </c>
      <c r="G22">
        <v>1.951E-2</v>
      </c>
      <c r="H22" t="s">
        <v>28</v>
      </c>
      <c r="I22" t="s">
        <v>28</v>
      </c>
      <c r="J22">
        <f>B22+B23</f>
        <v>4845.3751000000002</v>
      </c>
      <c r="K22">
        <f>MAX(E22:E23)</f>
        <v>50</v>
      </c>
      <c r="L22">
        <f>AVERAGE(F22:G23)</f>
        <v>2.5807500000000001E-2</v>
      </c>
    </row>
    <row r="23" spans="1:12" x14ac:dyDescent="0.25">
      <c r="A23">
        <v>49904</v>
      </c>
      <c r="B23">
        <v>2183.2907</v>
      </c>
      <c r="C23">
        <v>52.115920000000003</v>
      </c>
      <c r="D23">
        <v>52.673659999999998</v>
      </c>
      <c r="E23">
        <v>50</v>
      </c>
      <c r="F23">
        <v>2.3560000000000001E-2</v>
      </c>
      <c r="G23">
        <v>1.5990000000000001E-2</v>
      </c>
      <c r="H23" t="s">
        <v>27</v>
      </c>
    </row>
    <row r="24" spans="1:12" x14ac:dyDescent="0.25">
      <c r="A24">
        <v>5660</v>
      </c>
      <c r="B24">
        <v>2177.5907000000002</v>
      </c>
      <c r="C24">
        <v>66.797330000000002</v>
      </c>
      <c r="D24">
        <v>67.380200000000002</v>
      </c>
      <c r="E24">
        <v>64</v>
      </c>
      <c r="F24">
        <v>2.367E-2</v>
      </c>
      <c r="G24">
        <v>1.6E-2</v>
      </c>
      <c r="H24" t="s">
        <v>29</v>
      </c>
      <c r="I24" t="s">
        <v>30</v>
      </c>
      <c r="J24">
        <f>B24+B25</f>
        <v>4833.5367000000006</v>
      </c>
      <c r="K24">
        <f>MAX(E24:E25)</f>
        <v>64</v>
      </c>
      <c r="L24">
        <f>AVERAGE(F24:G25)</f>
        <v>2.57475E-2</v>
      </c>
    </row>
    <row r="25" spans="1:12" x14ac:dyDescent="0.25">
      <c r="A25">
        <v>43142</v>
      </c>
      <c r="B25">
        <v>2655.9459999999999</v>
      </c>
      <c r="C25">
        <v>65.914209999999997</v>
      </c>
      <c r="D25">
        <v>65.421639999999996</v>
      </c>
      <c r="E25">
        <v>64</v>
      </c>
      <c r="F25">
        <v>4.3920000000000001E-2</v>
      </c>
      <c r="G25">
        <v>1.9400000000000001E-2</v>
      </c>
      <c r="H25" t="s">
        <v>30</v>
      </c>
    </row>
    <row r="26" spans="1:12" x14ac:dyDescent="0.25">
      <c r="A26">
        <v>3374</v>
      </c>
      <c r="B26">
        <v>293.9846</v>
      </c>
      <c r="C26">
        <v>40.529310000000002</v>
      </c>
      <c r="D26">
        <v>40.859569999999998</v>
      </c>
      <c r="E26">
        <v>48</v>
      </c>
      <c r="F26">
        <v>0.15226000000000001</v>
      </c>
      <c r="G26">
        <v>0.10954</v>
      </c>
      <c r="H26" t="s">
        <v>53</v>
      </c>
      <c r="I26" t="s">
        <v>53</v>
      </c>
      <c r="J26">
        <f>B26+B27</f>
        <v>736.82500000000005</v>
      </c>
      <c r="K26">
        <f>MAX(E26:E27)</f>
        <v>48</v>
      </c>
      <c r="L26">
        <f>AVERAGE(F26:G27)</f>
        <v>0.12937000000000001</v>
      </c>
    </row>
    <row r="27" spans="1:12" x14ac:dyDescent="0.25">
      <c r="A27">
        <v>3375</v>
      </c>
      <c r="B27">
        <v>442.84039999999999</v>
      </c>
      <c r="C27">
        <v>47.434019999999997</v>
      </c>
      <c r="D27">
        <v>47.460709999999999</v>
      </c>
      <c r="E27">
        <v>48</v>
      </c>
      <c r="F27">
        <v>0.12592999999999999</v>
      </c>
      <c r="G27">
        <v>0.12975</v>
      </c>
      <c r="H27" t="s">
        <v>54</v>
      </c>
    </row>
    <row r="28" spans="1:12" x14ac:dyDescent="0.25">
      <c r="A28">
        <v>4844</v>
      </c>
      <c r="B28">
        <v>12364.6728</v>
      </c>
      <c r="C28">
        <v>78.713350000000005</v>
      </c>
      <c r="D28">
        <v>78.408550000000005</v>
      </c>
      <c r="E28">
        <v>80</v>
      </c>
      <c r="F28">
        <v>6.2019999999999999E-2</v>
      </c>
      <c r="G28">
        <v>1.8409999999999999E-2</v>
      </c>
      <c r="H28" t="s">
        <v>52</v>
      </c>
      <c r="I28" t="s">
        <v>70</v>
      </c>
      <c r="J28">
        <f>B28+B29</f>
        <v>24749.076099999998</v>
      </c>
      <c r="K28">
        <f>MAX(E28:E29)</f>
        <v>80</v>
      </c>
      <c r="L28">
        <f>AVERAGE(F28:G29)</f>
        <v>3.6082499999999997E-2</v>
      </c>
    </row>
    <row r="29" spans="1:12" x14ac:dyDescent="0.25">
      <c r="A29">
        <v>4845</v>
      </c>
      <c r="B29">
        <v>12384.4033</v>
      </c>
      <c r="C29">
        <v>79.921989999999994</v>
      </c>
      <c r="D29">
        <v>81.064369999999997</v>
      </c>
      <c r="E29">
        <v>80</v>
      </c>
      <c r="F29">
        <v>3.5770000000000003E-2</v>
      </c>
      <c r="G29">
        <v>2.8129999999999999E-2</v>
      </c>
      <c r="H29" t="s">
        <v>51</v>
      </c>
    </row>
    <row r="30" spans="1:12" x14ac:dyDescent="0.25">
      <c r="A30">
        <v>5657</v>
      </c>
      <c r="B30">
        <v>399.87169999999998</v>
      </c>
      <c r="C30">
        <v>79.659909999999996</v>
      </c>
      <c r="D30">
        <v>80.979349999999997</v>
      </c>
      <c r="E30">
        <v>80</v>
      </c>
      <c r="F30">
        <v>0.14188999999999999</v>
      </c>
      <c r="G30">
        <v>7.4679999999999996E-2</v>
      </c>
      <c r="H30" t="s">
        <v>36</v>
      </c>
      <c r="I30" t="s">
        <v>36</v>
      </c>
      <c r="J30">
        <f>B30+B31</f>
        <v>545.43899999999996</v>
      </c>
      <c r="K30">
        <f>MAX(E30:E31)</f>
        <v>80</v>
      </c>
      <c r="L30">
        <f>AVERAGE(F30:G31)</f>
        <v>0.11468250000000001</v>
      </c>
    </row>
    <row r="31" spans="1:12" x14ac:dyDescent="0.25">
      <c r="A31">
        <v>47986</v>
      </c>
      <c r="B31">
        <v>145.56729999999999</v>
      </c>
      <c r="C31">
        <v>84.616860000000003</v>
      </c>
      <c r="D31">
        <v>84.587339999999998</v>
      </c>
      <c r="E31">
        <v>80</v>
      </c>
      <c r="F31">
        <v>0.14523</v>
      </c>
      <c r="G31">
        <v>9.6930000000000002E-2</v>
      </c>
      <c r="H31" t="s">
        <v>35</v>
      </c>
    </row>
    <row r="32" spans="1:12" x14ac:dyDescent="0.25">
      <c r="A32" s="1">
        <v>455</v>
      </c>
      <c r="B32" s="1">
        <v>476.60149999999999</v>
      </c>
      <c r="C32" s="1">
        <v>30.929580000000001</v>
      </c>
      <c r="D32" s="1">
        <v>30.675039999999999</v>
      </c>
      <c r="E32" s="1">
        <v>32</v>
      </c>
      <c r="F32" s="1">
        <v>7.1590000000000001E-2</v>
      </c>
      <c r="G32" s="1">
        <v>9.4E-2</v>
      </c>
      <c r="H32" s="1" t="s">
        <v>44</v>
      </c>
      <c r="I32" t="s">
        <v>59</v>
      </c>
      <c r="J32">
        <f>B32+B33</f>
        <v>781.54750000000001</v>
      </c>
      <c r="K32">
        <f>MAX(E32:E33)</f>
        <v>32</v>
      </c>
      <c r="L32">
        <f>AVERAGE(F32:G33)</f>
        <v>7.443000000000001E-2</v>
      </c>
    </row>
    <row r="33" spans="1:12" x14ac:dyDescent="0.25">
      <c r="A33" s="1">
        <v>478</v>
      </c>
      <c r="B33" s="1">
        <v>304.94600000000003</v>
      </c>
      <c r="C33" s="1">
        <v>34.232410000000002</v>
      </c>
      <c r="D33" s="1">
        <v>34.644939999999998</v>
      </c>
      <c r="E33" s="1">
        <v>32</v>
      </c>
      <c r="F33" s="1">
        <v>0.10736</v>
      </c>
      <c r="G33" s="1">
        <v>2.477E-2</v>
      </c>
      <c r="H33" s="1" t="s">
        <v>43</v>
      </c>
    </row>
    <row r="34" spans="1:12" x14ac:dyDescent="0.25">
      <c r="A34">
        <v>49317</v>
      </c>
      <c r="B34">
        <v>343.96859999999998</v>
      </c>
      <c r="C34">
        <v>20.52449</v>
      </c>
      <c r="D34">
        <v>20.633019999999998</v>
      </c>
      <c r="E34">
        <v>32</v>
      </c>
      <c r="F34">
        <v>9.4189999999999996E-2</v>
      </c>
      <c r="G34">
        <v>8.4760000000000002E-2</v>
      </c>
      <c r="H34" t="s">
        <v>45</v>
      </c>
      <c r="I34" t="s">
        <v>71</v>
      </c>
      <c r="J34">
        <f>B34+B35</f>
        <v>512.99329999999998</v>
      </c>
      <c r="K34">
        <f>MAX(E34:E35)</f>
        <v>32</v>
      </c>
      <c r="L34">
        <f>AVERAGE(F34:G35)</f>
        <v>8.7217500000000003E-2</v>
      </c>
    </row>
    <row r="35" spans="1:12" x14ac:dyDescent="0.25">
      <c r="A35">
        <v>49896</v>
      </c>
      <c r="B35">
        <v>169.0247</v>
      </c>
      <c r="C35">
        <v>16.698530000000002</v>
      </c>
      <c r="D35">
        <v>16.899989999999999</v>
      </c>
      <c r="E35">
        <v>32</v>
      </c>
      <c r="F35">
        <v>0.10695</v>
      </c>
      <c r="G35">
        <v>6.2969999999999998E-2</v>
      </c>
      <c r="H35" t="s">
        <v>46</v>
      </c>
    </row>
    <row r="36" spans="1:12" x14ac:dyDescent="0.25">
      <c r="A36">
        <v>49318</v>
      </c>
      <c r="B36">
        <v>185.46680000000001</v>
      </c>
      <c r="C36">
        <v>26.373660000000001</v>
      </c>
      <c r="D36">
        <v>26.835080000000001</v>
      </c>
      <c r="E36">
        <v>32</v>
      </c>
      <c r="F36">
        <v>0.10526000000000001</v>
      </c>
      <c r="G36">
        <v>5.5930000000000001E-2</v>
      </c>
      <c r="H36" t="s">
        <v>47</v>
      </c>
      <c r="I36" t="s">
        <v>68</v>
      </c>
      <c r="J36">
        <f>B36+B37</f>
        <v>499.62040000000002</v>
      </c>
      <c r="K36">
        <f>MAX(E36:E37)</f>
        <v>32</v>
      </c>
      <c r="L36">
        <f>AVERAGE(F36:G37)</f>
        <v>9.0702499999999991E-2</v>
      </c>
    </row>
    <row r="37" spans="1:12" x14ac:dyDescent="0.25">
      <c r="A37">
        <v>49893</v>
      </c>
      <c r="B37">
        <v>314.15359999999998</v>
      </c>
      <c r="C37">
        <v>13.46468</v>
      </c>
      <c r="D37">
        <v>13.60347</v>
      </c>
      <c r="E37">
        <v>32</v>
      </c>
      <c r="F37">
        <v>0.10256</v>
      </c>
      <c r="G37">
        <v>9.9059999999999995E-2</v>
      </c>
      <c r="H37" t="s">
        <v>48</v>
      </c>
    </row>
    <row r="38" spans="1:12" x14ac:dyDescent="0.25">
      <c r="A38">
        <v>48177</v>
      </c>
      <c r="B38">
        <v>65.9876</v>
      </c>
      <c r="C38">
        <v>53.106059999999999</v>
      </c>
      <c r="D38">
        <v>53.288469999999997</v>
      </c>
      <c r="E38">
        <v>50</v>
      </c>
      <c r="F38">
        <v>0</v>
      </c>
      <c r="G38">
        <v>1.8749999999999999E-2</v>
      </c>
      <c r="H38" t="s">
        <v>50</v>
      </c>
      <c r="I38" t="s">
        <v>72</v>
      </c>
      <c r="J38">
        <f>B38+B39</f>
        <v>125.17910000000001</v>
      </c>
      <c r="K38">
        <f>MAX(E38:E39)</f>
        <v>50</v>
      </c>
      <c r="L38">
        <f>AVERAGE(F38:G39)</f>
        <v>2.1729999999999999E-2</v>
      </c>
    </row>
    <row r="39" spans="1:12" x14ac:dyDescent="0.25">
      <c r="A39">
        <v>48178</v>
      </c>
      <c r="B39">
        <v>59.191499999999998</v>
      </c>
      <c r="C39">
        <v>53.147370000000002</v>
      </c>
      <c r="D39">
        <v>53.550310000000003</v>
      </c>
      <c r="E39">
        <v>50</v>
      </c>
      <c r="F39">
        <v>4.1320000000000003E-2</v>
      </c>
      <c r="G39">
        <v>2.6849999999999999E-2</v>
      </c>
      <c r="H39" t="s">
        <v>49</v>
      </c>
    </row>
    <row r="40" spans="1:12" x14ac:dyDescent="0.25">
      <c r="A40">
        <v>49265</v>
      </c>
      <c r="B40">
        <v>388.03339999999997</v>
      </c>
      <c r="C40">
        <v>27.98695</v>
      </c>
      <c r="D40">
        <v>27.924289999999999</v>
      </c>
      <c r="E40">
        <v>32</v>
      </c>
      <c r="F40">
        <v>0.10439</v>
      </c>
      <c r="G40">
        <v>9.8169999999999993E-2</v>
      </c>
      <c r="H40" t="s">
        <v>40</v>
      </c>
      <c r="I40" t="s">
        <v>60</v>
      </c>
      <c r="J40">
        <f>B40+B41</f>
        <v>617.34579999999994</v>
      </c>
      <c r="K40">
        <f>MAX(E40:E41)</f>
        <v>32</v>
      </c>
      <c r="L40">
        <f>AVERAGE(F40:G41)</f>
        <v>7.8039999999999998E-2</v>
      </c>
    </row>
    <row r="41" spans="1:12" x14ac:dyDescent="0.25">
      <c r="A41">
        <v>49266</v>
      </c>
      <c r="B41">
        <v>229.3124</v>
      </c>
      <c r="C41">
        <v>29.524229999999999</v>
      </c>
      <c r="D41">
        <v>30.029409999999999</v>
      </c>
      <c r="E41">
        <v>32</v>
      </c>
      <c r="F41">
        <v>8.7059999999999998E-2</v>
      </c>
      <c r="G41">
        <v>2.2540000000000001E-2</v>
      </c>
      <c r="H41" t="s">
        <v>39</v>
      </c>
    </row>
    <row r="42" spans="1:12" x14ac:dyDescent="0.25">
      <c r="A42">
        <v>49267</v>
      </c>
      <c r="B42">
        <v>210.8972</v>
      </c>
      <c r="C42">
        <v>31.808620000000001</v>
      </c>
      <c r="D42">
        <v>31.38598</v>
      </c>
      <c r="E42">
        <v>32</v>
      </c>
      <c r="F42">
        <v>0.13411999999999999</v>
      </c>
      <c r="G42">
        <v>5.5870000000000003E-2</v>
      </c>
      <c r="H42" t="s">
        <v>38</v>
      </c>
      <c r="I42" t="s">
        <v>61</v>
      </c>
      <c r="J42">
        <f>B42+B43</f>
        <v>581.83079999999995</v>
      </c>
      <c r="K42">
        <f>MAX(E42:E43)</f>
        <v>32</v>
      </c>
      <c r="L42">
        <f>AVERAGE(F42:G43)</f>
        <v>9.3702499999999994E-2</v>
      </c>
    </row>
    <row r="43" spans="1:12" x14ac:dyDescent="0.25">
      <c r="A43">
        <v>49268</v>
      </c>
      <c r="B43">
        <v>370.93360000000001</v>
      </c>
      <c r="C43">
        <v>29.552969999999998</v>
      </c>
      <c r="D43">
        <v>29.509969999999999</v>
      </c>
      <c r="E43">
        <v>32</v>
      </c>
      <c r="F43">
        <v>8.3000000000000004E-2</v>
      </c>
      <c r="G43">
        <v>0.10181999999999999</v>
      </c>
      <c r="H43" t="s">
        <v>37</v>
      </c>
    </row>
    <row r="44" spans="1:12" x14ac:dyDescent="0.25">
      <c r="A44">
        <v>49270</v>
      </c>
      <c r="B44">
        <v>304.72680000000003</v>
      </c>
      <c r="C44">
        <v>25.136579999999999</v>
      </c>
      <c r="D44">
        <v>24.808810000000001</v>
      </c>
      <c r="E44">
        <v>32</v>
      </c>
      <c r="F44">
        <v>7.0559999999999998E-2</v>
      </c>
      <c r="G44">
        <v>0.10067</v>
      </c>
      <c r="H44" t="s">
        <v>41</v>
      </c>
      <c r="I44" t="s">
        <v>62</v>
      </c>
      <c r="J44">
        <f>B44+B45</f>
        <v>506.19720000000007</v>
      </c>
      <c r="K44">
        <f>MAX(E44:E45)</f>
        <v>32</v>
      </c>
      <c r="L44">
        <f>AVERAGE(F44:G45)</f>
        <v>7.27275E-2</v>
      </c>
    </row>
    <row r="45" spans="1:12" x14ac:dyDescent="0.25">
      <c r="A45">
        <v>49271</v>
      </c>
      <c r="B45">
        <v>201.47040000000001</v>
      </c>
      <c r="C45">
        <v>29.133849999999999</v>
      </c>
      <c r="D45">
        <v>29.124179999999999</v>
      </c>
      <c r="E45">
        <v>32</v>
      </c>
      <c r="F45">
        <v>7.6740000000000003E-2</v>
      </c>
      <c r="G45">
        <v>4.2939999999999999E-2</v>
      </c>
      <c r="H45" t="s">
        <v>42</v>
      </c>
    </row>
    <row r="46" spans="1:12" x14ac:dyDescent="0.25">
      <c r="A46">
        <v>49902</v>
      </c>
      <c r="B46">
        <v>49.984000000000002</v>
      </c>
      <c r="C46">
        <v>31.885200000000001</v>
      </c>
      <c r="D46">
        <v>32.945480000000003</v>
      </c>
      <c r="E46">
        <v>32</v>
      </c>
      <c r="F46">
        <v>0.11111</v>
      </c>
      <c r="G46">
        <v>4.6510000000000003E-2</v>
      </c>
      <c r="H46" t="s">
        <v>32</v>
      </c>
      <c r="I46" t="s">
        <v>73</v>
      </c>
      <c r="J46">
        <f>B46+B47</f>
        <v>64.014600000000002</v>
      </c>
      <c r="K46">
        <f>MAX(E46:E47)</f>
        <v>32</v>
      </c>
      <c r="L46">
        <f>AVERAGE(F46:G47)</f>
        <v>0.19556250000000003</v>
      </c>
    </row>
    <row r="47" spans="1:12" x14ac:dyDescent="0.25">
      <c r="A47">
        <v>49892</v>
      </c>
      <c r="B47">
        <v>14.0306</v>
      </c>
      <c r="C47">
        <v>20.21115</v>
      </c>
      <c r="D47">
        <v>21.637070000000001</v>
      </c>
      <c r="E47">
        <v>32</v>
      </c>
      <c r="F47">
        <v>0.31034</v>
      </c>
      <c r="G47">
        <v>0.31429000000000001</v>
      </c>
      <c r="H47" t="s">
        <v>31</v>
      </c>
    </row>
    <row r="48" spans="1:12" x14ac:dyDescent="0.25">
      <c r="A48">
        <v>49903</v>
      </c>
      <c r="B48">
        <v>9.2075999999999993</v>
      </c>
      <c r="C48">
        <v>31.194520000000001</v>
      </c>
      <c r="D48">
        <v>31.830190000000002</v>
      </c>
      <c r="E48">
        <v>32</v>
      </c>
      <c r="F48">
        <v>0</v>
      </c>
      <c r="G48">
        <v>0</v>
      </c>
      <c r="H48" t="s">
        <v>34</v>
      </c>
      <c r="I48" t="s">
        <v>74</v>
      </c>
      <c r="J48">
        <f>B48+B49</f>
        <v>29.157299999999999</v>
      </c>
      <c r="K48">
        <f>MAX(E48:E49)</f>
        <v>32</v>
      </c>
      <c r="L48">
        <f>AVERAGE(F48:G49)</f>
        <v>0</v>
      </c>
    </row>
    <row r="49" spans="1:8" x14ac:dyDescent="0.25">
      <c r="A49">
        <v>49899</v>
      </c>
      <c r="B49">
        <v>19.9497</v>
      </c>
      <c r="C49">
        <v>32.827930000000002</v>
      </c>
      <c r="D49">
        <v>33.713479999999997</v>
      </c>
      <c r="E49">
        <v>32</v>
      </c>
      <c r="F49">
        <v>0</v>
      </c>
      <c r="G49">
        <v>0</v>
      </c>
      <c r="H49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198B4-CDCA-4F3D-9630-567F2476A088}">
  <sheetPr codeName="Sheet2">
    <tabColor theme="0" tint="-0.14999847407452621"/>
  </sheetPr>
  <dimension ref="A1:L49"/>
  <sheetViews>
    <sheetView workbookViewId="0">
      <selection activeCell="E24" sqref="E24"/>
    </sheetView>
  </sheetViews>
  <sheetFormatPr defaultRowHeight="15" x14ac:dyDescent="0.25"/>
  <cols>
    <col min="1" max="1" width="11.42578125" bestFit="1" customWidth="1"/>
    <col min="2" max="2" width="11.28515625" bestFit="1" customWidth="1"/>
    <col min="3" max="3" width="10.7109375" bestFit="1" customWidth="1"/>
    <col min="4" max="4" width="10.28515625" bestFit="1" customWidth="1"/>
    <col min="5" max="5" width="10.140625" bestFit="1" customWidth="1"/>
    <col min="6" max="6" width="15.7109375" bestFit="1" customWidth="1"/>
    <col min="7" max="7" width="13.7109375" customWidth="1"/>
    <col min="8" max="8" width="27.28515625" bestFit="1" customWidth="1"/>
    <col min="9" max="9" width="22.140625" customWidth="1"/>
    <col min="10" max="10" width="10" bestFit="1" customWidth="1"/>
    <col min="11" max="11" width="16.5703125" bestFit="1" customWidth="1"/>
    <col min="12" max="12" width="21.1406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J1" t="s">
        <v>1</v>
      </c>
      <c r="K1" t="s">
        <v>69</v>
      </c>
      <c r="L1" t="s">
        <v>63</v>
      </c>
    </row>
    <row r="2" spans="1:12" x14ac:dyDescent="0.25">
      <c r="A2">
        <v>504</v>
      </c>
      <c r="B2">
        <v>30548.15</v>
      </c>
      <c r="C2">
        <v>97.887379999999993</v>
      </c>
      <c r="D2">
        <v>98.310059999999993</v>
      </c>
      <c r="E2">
        <v>120</v>
      </c>
      <c r="F2">
        <v>0.10549</v>
      </c>
      <c r="G2">
        <v>4.8959999999999997E-2</v>
      </c>
      <c r="H2" t="s">
        <v>12</v>
      </c>
      <c r="I2" t="s">
        <v>12</v>
      </c>
      <c r="J2">
        <f t="shared" ref="J2:J7" si="0">B2</f>
        <v>30548.15</v>
      </c>
      <c r="K2">
        <f t="shared" ref="K2:K7" si="1">E2</f>
        <v>120</v>
      </c>
      <c r="L2">
        <f t="shared" ref="L2:L7" si="2">AVERAGE(F2:G2)</f>
        <v>7.7225000000000002E-2</v>
      </c>
    </row>
    <row r="3" spans="1:12" x14ac:dyDescent="0.25">
      <c r="A3">
        <v>48032</v>
      </c>
      <c r="B3">
        <v>31052.6</v>
      </c>
      <c r="C3">
        <v>98.259739999999994</v>
      </c>
      <c r="D3">
        <v>100.41436</v>
      </c>
      <c r="E3">
        <v>120</v>
      </c>
      <c r="F3">
        <v>7.4090000000000003E-2</v>
      </c>
      <c r="G3">
        <v>6.6009999999999999E-2</v>
      </c>
      <c r="H3" t="s">
        <v>11</v>
      </c>
      <c r="I3" t="s">
        <v>11</v>
      </c>
      <c r="J3">
        <f t="shared" si="0"/>
        <v>31052.6</v>
      </c>
      <c r="K3">
        <f t="shared" si="1"/>
        <v>120</v>
      </c>
      <c r="L3">
        <f t="shared" si="2"/>
        <v>7.0050000000000001E-2</v>
      </c>
    </row>
    <row r="4" spans="1:12" x14ac:dyDescent="0.25">
      <c r="A4">
        <v>47938</v>
      </c>
      <c r="B4">
        <v>31078.79</v>
      </c>
      <c r="C4">
        <v>98.360200000000006</v>
      </c>
      <c r="D4">
        <v>98.649050000000003</v>
      </c>
      <c r="E4">
        <v>120</v>
      </c>
      <c r="F4">
        <v>7.3950000000000002E-2</v>
      </c>
      <c r="G4">
        <v>6.583E-2</v>
      </c>
      <c r="H4" t="s">
        <v>7</v>
      </c>
      <c r="I4" t="s">
        <v>7</v>
      </c>
      <c r="J4">
        <f t="shared" si="0"/>
        <v>31078.79</v>
      </c>
      <c r="K4">
        <f t="shared" si="1"/>
        <v>120</v>
      </c>
      <c r="L4">
        <f t="shared" si="2"/>
        <v>6.9890000000000008E-2</v>
      </c>
    </row>
    <row r="5" spans="1:12" x14ac:dyDescent="0.25">
      <c r="A5">
        <v>48042</v>
      </c>
      <c r="B5">
        <v>30821.16</v>
      </c>
      <c r="C5">
        <v>96.375010000000003</v>
      </c>
      <c r="D5">
        <v>90.967849999999999</v>
      </c>
      <c r="E5">
        <v>120</v>
      </c>
      <c r="F5">
        <v>0.10549</v>
      </c>
      <c r="G5">
        <v>4.8180000000000001E-2</v>
      </c>
      <c r="H5" t="s">
        <v>8</v>
      </c>
      <c r="I5" t="s">
        <v>8</v>
      </c>
      <c r="J5">
        <f t="shared" si="0"/>
        <v>30821.16</v>
      </c>
      <c r="K5">
        <f t="shared" si="1"/>
        <v>120</v>
      </c>
      <c r="L5">
        <f t="shared" si="2"/>
        <v>7.6835000000000001E-2</v>
      </c>
    </row>
    <row r="6" spans="1:12" x14ac:dyDescent="0.25">
      <c r="A6">
        <v>47939</v>
      </c>
      <c r="B6">
        <v>31854.29</v>
      </c>
      <c r="C6">
        <v>91.463250000000002</v>
      </c>
      <c r="D6">
        <v>38.741950000000003</v>
      </c>
      <c r="E6">
        <v>120</v>
      </c>
      <c r="F6">
        <v>0.10372000000000001</v>
      </c>
      <c r="G6">
        <v>4.648E-2</v>
      </c>
      <c r="H6" t="s">
        <v>10</v>
      </c>
      <c r="I6" t="s">
        <v>10</v>
      </c>
      <c r="J6">
        <f t="shared" si="0"/>
        <v>31854.29</v>
      </c>
      <c r="K6">
        <f t="shared" si="1"/>
        <v>120</v>
      </c>
      <c r="L6">
        <f t="shared" si="2"/>
        <v>7.51E-2</v>
      </c>
    </row>
    <row r="7" spans="1:12" x14ac:dyDescent="0.25">
      <c r="A7">
        <v>48061</v>
      </c>
      <c r="B7">
        <v>32349.86</v>
      </c>
      <c r="C7">
        <v>94.529839999999993</v>
      </c>
      <c r="D7">
        <v>93.901579999999996</v>
      </c>
      <c r="E7">
        <v>120</v>
      </c>
      <c r="F7">
        <v>6.9389999999999993E-2</v>
      </c>
      <c r="G7">
        <v>6.4890000000000003E-2</v>
      </c>
      <c r="H7" t="s">
        <v>9</v>
      </c>
      <c r="I7" t="s">
        <v>9</v>
      </c>
      <c r="J7">
        <f t="shared" si="0"/>
        <v>32349.86</v>
      </c>
      <c r="K7">
        <f t="shared" si="1"/>
        <v>120</v>
      </c>
      <c r="L7">
        <f t="shared" si="2"/>
        <v>6.7140000000000005E-2</v>
      </c>
    </row>
    <row r="8" spans="1:12" x14ac:dyDescent="0.25">
      <c r="A8">
        <v>48055</v>
      </c>
      <c r="B8">
        <v>76.209999999999994</v>
      </c>
      <c r="C8">
        <v>49.657850000000003</v>
      </c>
      <c r="D8">
        <v>50.957189999999997</v>
      </c>
      <c r="E8">
        <v>50</v>
      </c>
      <c r="F8">
        <v>0.19664999999999999</v>
      </c>
      <c r="G8">
        <v>7.0800000000000002E-2</v>
      </c>
      <c r="H8" t="s">
        <v>14</v>
      </c>
      <c r="I8" t="s">
        <v>64</v>
      </c>
      <c r="J8">
        <f>B8+B9</f>
        <v>532.81000000000006</v>
      </c>
      <c r="K8">
        <f>MAX(E8:E9)</f>
        <v>50</v>
      </c>
      <c r="L8">
        <f>AVERAGE(F8:G9)</f>
        <v>0.10710499999999999</v>
      </c>
    </row>
    <row r="9" spans="1:12" x14ac:dyDescent="0.25">
      <c r="A9">
        <v>49272</v>
      </c>
      <c r="B9">
        <v>456.6</v>
      </c>
      <c r="C9">
        <v>51.65802</v>
      </c>
      <c r="D9">
        <v>51.175780000000003</v>
      </c>
      <c r="E9">
        <v>50</v>
      </c>
      <c r="F9">
        <v>0.14058999999999999</v>
      </c>
      <c r="G9">
        <v>2.0379999999999999E-2</v>
      </c>
      <c r="H9" t="s">
        <v>13</v>
      </c>
    </row>
    <row r="10" spans="1:12" x14ac:dyDescent="0.25">
      <c r="A10">
        <v>49278</v>
      </c>
      <c r="B10">
        <v>200.91</v>
      </c>
      <c r="C10">
        <v>31.527560000000001</v>
      </c>
      <c r="D10">
        <v>32.878010000000003</v>
      </c>
      <c r="E10">
        <v>32</v>
      </c>
      <c r="F10">
        <v>0.10836999999999999</v>
      </c>
      <c r="G10">
        <v>2.1069999999999998E-2</v>
      </c>
      <c r="H10" t="s">
        <v>16</v>
      </c>
      <c r="I10" t="s">
        <v>66</v>
      </c>
      <c r="J10">
        <f>B10+B11</f>
        <v>873.79</v>
      </c>
      <c r="K10">
        <f>MAX(E10:E11)</f>
        <v>32</v>
      </c>
      <c r="L10">
        <f>AVERAGE(F10:G11)</f>
        <v>5.5484999999999993E-2</v>
      </c>
    </row>
    <row r="11" spans="1:12" x14ac:dyDescent="0.25">
      <c r="A11">
        <v>49294</v>
      </c>
      <c r="B11">
        <v>672.88</v>
      </c>
      <c r="C11">
        <v>30.28941</v>
      </c>
      <c r="D11">
        <v>32.718029999999999</v>
      </c>
      <c r="E11">
        <v>32</v>
      </c>
      <c r="F11">
        <v>6.948E-2</v>
      </c>
      <c r="G11">
        <v>2.3019999999999999E-2</v>
      </c>
      <c r="H11" t="s">
        <v>15</v>
      </c>
    </row>
    <row r="12" spans="1:12" x14ac:dyDescent="0.25">
      <c r="A12">
        <v>49291</v>
      </c>
      <c r="B12">
        <v>418.71</v>
      </c>
      <c r="C12">
        <v>33.537219999999998</v>
      </c>
      <c r="D12">
        <v>33.59178</v>
      </c>
      <c r="E12">
        <v>32</v>
      </c>
      <c r="F12">
        <v>6.3E-2</v>
      </c>
      <c r="G12">
        <v>2.0199999999999999E-2</v>
      </c>
      <c r="H12" t="s">
        <v>18</v>
      </c>
      <c r="I12" t="s">
        <v>67</v>
      </c>
      <c r="J12">
        <f>B12+B13</f>
        <v>1368.06</v>
      </c>
      <c r="K12">
        <f>MAX(E12:E13)</f>
        <v>32</v>
      </c>
      <c r="L12">
        <f>AVERAGE(F12:G13)</f>
        <v>3.8982499999999996E-2</v>
      </c>
    </row>
    <row r="13" spans="1:12" x14ac:dyDescent="0.25">
      <c r="A13">
        <v>49304</v>
      </c>
      <c r="B13">
        <v>949.35</v>
      </c>
      <c r="C13">
        <v>33.60154</v>
      </c>
      <c r="D13">
        <v>34.107170000000004</v>
      </c>
      <c r="E13">
        <v>32</v>
      </c>
      <c r="F13">
        <v>5.2549999999999999E-2</v>
      </c>
      <c r="G13">
        <v>2.018E-2</v>
      </c>
      <c r="H13" t="s">
        <v>17</v>
      </c>
    </row>
    <row r="14" spans="1:12" x14ac:dyDescent="0.25">
      <c r="A14">
        <v>5658</v>
      </c>
      <c r="B14">
        <v>1208.29</v>
      </c>
      <c r="C14">
        <v>27.873609999999999</v>
      </c>
      <c r="D14">
        <v>27.508179999999999</v>
      </c>
      <c r="E14">
        <v>32</v>
      </c>
      <c r="F14">
        <v>4.7960000000000003E-2</v>
      </c>
      <c r="G14">
        <v>1.8579999999999999E-2</v>
      </c>
      <c r="H14" t="s">
        <v>19</v>
      </c>
      <c r="I14" t="s">
        <v>65</v>
      </c>
      <c r="J14">
        <f>B14+B15</f>
        <v>1830.08</v>
      </c>
      <c r="K14">
        <f>MAX(E14:E15)</f>
        <v>32</v>
      </c>
      <c r="L14">
        <f>AVERAGE(F14:G15)</f>
        <v>3.653E-2</v>
      </c>
    </row>
    <row r="15" spans="1:12" x14ac:dyDescent="0.25">
      <c r="A15">
        <v>49307</v>
      </c>
      <c r="B15">
        <v>621.79</v>
      </c>
      <c r="C15">
        <v>33.397939999999998</v>
      </c>
      <c r="D15">
        <v>33.527479999999997</v>
      </c>
      <c r="E15">
        <v>32</v>
      </c>
      <c r="F15">
        <v>5.9790000000000003E-2</v>
      </c>
      <c r="G15">
        <v>1.9789999999999999E-2</v>
      </c>
      <c r="H15" t="s">
        <v>20</v>
      </c>
    </row>
    <row r="16" spans="1:12" x14ac:dyDescent="0.25">
      <c r="A16">
        <v>4843</v>
      </c>
      <c r="B16">
        <v>1375.86</v>
      </c>
      <c r="C16">
        <v>51.695509999999999</v>
      </c>
      <c r="D16">
        <v>52.257089999999998</v>
      </c>
      <c r="E16">
        <v>50</v>
      </c>
      <c r="F16">
        <v>3.9129999999999998E-2</v>
      </c>
      <c r="G16">
        <v>1.1950000000000001E-2</v>
      </c>
      <c r="H16" t="s">
        <v>22</v>
      </c>
      <c r="I16" t="s">
        <v>22</v>
      </c>
      <c r="J16">
        <f>B16+B17</f>
        <v>3095.3</v>
      </c>
      <c r="K16">
        <f>MAX(E16:E17)</f>
        <v>50</v>
      </c>
      <c r="L16">
        <f>AVERAGE(F16:G17)</f>
        <v>1.9262500000000002E-2</v>
      </c>
    </row>
    <row r="17" spans="1:12" x14ac:dyDescent="0.25">
      <c r="A17">
        <v>47962</v>
      </c>
      <c r="B17">
        <v>1719.44</v>
      </c>
      <c r="C17">
        <v>47.698889999999999</v>
      </c>
      <c r="D17">
        <v>51.00855</v>
      </c>
      <c r="E17">
        <v>50</v>
      </c>
      <c r="F17">
        <v>1.059E-2</v>
      </c>
      <c r="G17">
        <v>1.538E-2</v>
      </c>
      <c r="H17" t="s">
        <v>21</v>
      </c>
    </row>
    <row r="18" spans="1:12" x14ac:dyDescent="0.25">
      <c r="A18">
        <v>3097</v>
      </c>
      <c r="B18">
        <v>2308.3200000000002</v>
      </c>
      <c r="C18">
        <v>48.263120000000001</v>
      </c>
      <c r="D18">
        <v>45.098280000000003</v>
      </c>
      <c r="E18">
        <v>50</v>
      </c>
      <c r="F18">
        <v>1.8720000000000001E-2</v>
      </c>
      <c r="G18">
        <v>1.6289999999999999E-2</v>
      </c>
      <c r="H18" t="s">
        <v>23</v>
      </c>
      <c r="I18" t="s">
        <v>24</v>
      </c>
      <c r="J18">
        <f>B18+B19</f>
        <v>4865.83</v>
      </c>
      <c r="K18">
        <f>MAX(E18:E19)</f>
        <v>50</v>
      </c>
      <c r="L18">
        <f>AVERAGE(F18:G19)</f>
        <v>2.3590000000000003E-2</v>
      </c>
    </row>
    <row r="19" spans="1:12" x14ac:dyDescent="0.25">
      <c r="A19">
        <v>48211</v>
      </c>
      <c r="B19">
        <v>2557.5100000000002</v>
      </c>
      <c r="C19">
        <v>43.985149999999997</v>
      </c>
      <c r="D19">
        <v>43.610050000000001</v>
      </c>
      <c r="E19">
        <v>50</v>
      </c>
      <c r="F19">
        <v>4.3900000000000002E-2</v>
      </c>
      <c r="G19">
        <v>1.545E-2</v>
      </c>
      <c r="H19" t="s">
        <v>24</v>
      </c>
    </row>
    <row r="20" spans="1:12" x14ac:dyDescent="0.25">
      <c r="A20">
        <v>43145</v>
      </c>
      <c r="B20">
        <v>2750.85</v>
      </c>
      <c r="C20">
        <v>49.938209999999998</v>
      </c>
      <c r="D20">
        <v>49.815640000000002</v>
      </c>
      <c r="E20">
        <v>50</v>
      </c>
      <c r="F20">
        <v>1.8519999999999998E-2</v>
      </c>
      <c r="G20">
        <v>1.465E-2</v>
      </c>
      <c r="H20" t="s">
        <v>26</v>
      </c>
      <c r="I20" t="s">
        <v>25</v>
      </c>
      <c r="J20">
        <f>B20+B21</f>
        <v>6028.23</v>
      </c>
      <c r="K20">
        <f>MAX(E20:E21)</f>
        <v>50</v>
      </c>
      <c r="L20">
        <f>AVERAGE(F20:G21)</f>
        <v>2.46625E-2</v>
      </c>
    </row>
    <row r="21" spans="1:12" x14ac:dyDescent="0.25">
      <c r="A21">
        <v>49907</v>
      </c>
      <c r="B21">
        <v>3277.38</v>
      </c>
      <c r="C21">
        <v>48.780589999999997</v>
      </c>
      <c r="D21">
        <v>50.034230000000001</v>
      </c>
      <c r="E21">
        <v>50</v>
      </c>
      <c r="F21">
        <v>4.5580000000000002E-2</v>
      </c>
      <c r="G21">
        <v>1.9900000000000001E-2</v>
      </c>
      <c r="H21" t="s">
        <v>25</v>
      </c>
    </row>
    <row r="22" spans="1:12" x14ac:dyDescent="0.25">
      <c r="A22">
        <v>5661</v>
      </c>
      <c r="B22">
        <v>3283.87</v>
      </c>
      <c r="C22">
        <v>52.913919999999997</v>
      </c>
      <c r="D22">
        <v>52.826700000000002</v>
      </c>
      <c r="E22">
        <v>50</v>
      </c>
      <c r="F22">
        <v>4.5600000000000002E-2</v>
      </c>
      <c r="G22">
        <v>1.967E-2</v>
      </c>
      <c r="H22" t="s">
        <v>28</v>
      </c>
      <c r="I22" t="s">
        <v>28</v>
      </c>
      <c r="J22">
        <f>B22+B23</f>
        <v>6053.12</v>
      </c>
      <c r="K22">
        <f>MAX(E22:E23)</f>
        <v>50</v>
      </c>
      <c r="L22">
        <f>AVERAGE(F22:G23)</f>
        <v>2.452E-2</v>
      </c>
    </row>
    <row r="23" spans="1:12" x14ac:dyDescent="0.25">
      <c r="A23">
        <v>49904</v>
      </c>
      <c r="B23">
        <v>2769.25</v>
      </c>
      <c r="C23">
        <v>51.717129999999997</v>
      </c>
      <c r="D23">
        <v>52.347259999999999</v>
      </c>
      <c r="E23">
        <v>50</v>
      </c>
      <c r="F23">
        <v>1.8319999999999999E-2</v>
      </c>
      <c r="G23">
        <v>1.4489999999999999E-2</v>
      </c>
      <c r="H23" t="s">
        <v>27</v>
      </c>
    </row>
    <row r="24" spans="1:12" x14ac:dyDescent="0.25">
      <c r="A24">
        <v>5660</v>
      </c>
      <c r="B24">
        <v>2766.44</v>
      </c>
      <c r="C24">
        <v>66.273780000000002</v>
      </c>
      <c r="D24">
        <v>67.018839999999997</v>
      </c>
      <c r="E24">
        <v>64</v>
      </c>
      <c r="F24">
        <v>1.823E-2</v>
      </c>
      <c r="G24">
        <v>1.448E-2</v>
      </c>
      <c r="H24" t="s">
        <v>29</v>
      </c>
      <c r="I24" t="s">
        <v>30</v>
      </c>
      <c r="J24">
        <f>B24+B25</f>
        <v>6046.85</v>
      </c>
      <c r="K24">
        <f>MAX(E24:E25)</f>
        <v>64</v>
      </c>
      <c r="L24">
        <f>AVERAGE(F24:G25)</f>
        <v>2.4375000000000001E-2</v>
      </c>
    </row>
    <row r="25" spans="1:12" x14ac:dyDescent="0.25">
      <c r="A25">
        <v>43142</v>
      </c>
      <c r="B25">
        <v>3280.41</v>
      </c>
      <c r="C25">
        <v>64.91592</v>
      </c>
      <c r="D25">
        <v>64.833740000000006</v>
      </c>
      <c r="E25">
        <v>64</v>
      </c>
      <c r="F25">
        <v>4.5100000000000001E-2</v>
      </c>
      <c r="G25">
        <v>1.9689999999999999E-2</v>
      </c>
      <c r="H25" t="s">
        <v>30</v>
      </c>
    </row>
    <row r="26" spans="1:12" x14ac:dyDescent="0.25">
      <c r="A26">
        <v>3374</v>
      </c>
      <c r="B26">
        <v>366.32</v>
      </c>
      <c r="C26">
        <v>39.397280000000002</v>
      </c>
      <c r="D26">
        <v>40.359400000000001</v>
      </c>
      <c r="E26">
        <v>48</v>
      </c>
      <c r="F26">
        <v>0.12064999999999999</v>
      </c>
      <c r="G26">
        <v>0.10084</v>
      </c>
      <c r="H26" t="s">
        <v>53</v>
      </c>
      <c r="I26" t="s">
        <v>53</v>
      </c>
      <c r="J26">
        <f>B26+B27</f>
        <v>928.56999999999994</v>
      </c>
      <c r="K26">
        <f>MAX(E26:E27)</f>
        <v>48</v>
      </c>
      <c r="L26">
        <f>AVERAGE(F26:G27)</f>
        <v>0.1140475</v>
      </c>
    </row>
    <row r="27" spans="1:12" x14ac:dyDescent="0.25">
      <c r="A27">
        <v>3375</v>
      </c>
      <c r="B27">
        <v>562.25</v>
      </c>
      <c r="C27">
        <v>47.255119999999998</v>
      </c>
      <c r="D27">
        <v>47.30444</v>
      </c>
      <c r="E27">
        <v>48</v>
      </c>
      <c r="F27">
        <v>0.10532999999999999</v>
      </c>
      <c r="G27">
        <v>0.12937000000000001</v>
      </c>
      <c r="H27" t="s">
        <v>54</v>
      </c>
    </row>
    <row r="28" spans="1:12" x14ac:dyDescent="0.25">
      <c r="A28">
        <v>300834</v>
      </c>
      <c r="B28">
        <v>13565.24</v>
      </c>
      <c r="C28">
        <v>79.476699999999994</v>
      </c>
      <c r="D28">
        <v>78.937659999999994</v>
      </c>
      <c r="E28">
        <v>80</v>
      </c>
      <c r="F28">
        <v>5.1429999999999997E-2</v>
      </c>
      <c r="G28">
        <v>1.418E-2</v>
      </c>
      <c r="H28" t="s">
        <v>52</v>
      </c>
      <c r="I28" t="s">
        <v>70</v>
      </c>
      <c r="J28">
        <f>B28+B29</f>
        <v>27626.699999999997</v>
      </c>
      <c r="K28">
        <f>MAX(E28:E29)</f>
        <v>80</v>
      </c>
      <c r="L28">
        <f>AVERAGE(F28:G29)</f>
        <v>3.1055000000000003E-2</v>
      </c>
    </row>
    <row r="29" spans="1:12" x14ac:dyDescent="0.25">
      <c r="A29">
        <v>300842</v>
      </c>
      <c r="B29">
        <v>14061.46</v>
      </c>
      <c r="C29">
        <v>78.834000000000003</v>
      </c>
      <c r="D29">
        <v>80.682959999999994</v>
      </c>
      <c r="E29">
        <v>80</v>
      </c>
      <c r="F29">
        <v>3.2480000000000002E-2</v>
      </c>
      <c r="G29">
        <v>2.613E-2</v>
      </c>
      <c r="H29" t="s">
        <v>51</v>
      </c>
    </row>
    <row r="30" spans="1:12" x14ac:dyDescent="0.25">
      <c r="A30">
        <v>5657</v>
      </c>
      <c r="B30">
        <v>360.26</v>
      </c>
      <c r="C30">
        <v>79.485280000000003</v>
      </c>
      <c r="D30">
        <v>80.121390000000005</v>
      </c>
      <c r="E30">
        <v>80</v>
      </c>
      <c r="F30">
        <v>0.11445</v>
      </c>
      <c r="G30">
        <v>6.3210000000000002E-2</v>
      </c>
      <c r="H30" t="s">
        <v>36</v>
      </c>
      <c r="I30" t="s">
        <v>36</v>
      </c>
      <c r="J30">
        <f>B30+B31</f>
        <v>538.22</v>
      </c>
      <c r="K30">
        <f>MAX(E30:E31)</f>
        <v>80</v>
      </c>
      <c r="L30">
        <f>AVERAGE(F30:G31)</f>
        <v>0.1032925</v>
      </c>
    </row>
    <row r="31" spans="1:12" x14ac:dyDescent="0.25">
      <c r="A31">
        <v>47986</v>
      </c>
      <c r="B31">
        <v>177.96</v>
      </c>
      <c r="C31">
        <v>83.855170000000001</v>
      </c>
      <c r="D31">
        <v>84.00797</v>
      </c>
      <c r="E31">
        <v>80</v>
      </c>
      <c r="F31">
        <v>0.12773000000000001</v>
      </c>
      <c r="G31">
        <v>0.10778</v>
      </c>
      <c r="H31" t="s">
        <v>35</v>
      </c>
    </row>
    <row r="32" spans="1:12" x14ac:dyDescent="0.25">
      <c r="A32">
        <v>455</v>
      </c>
      <c r="B32">
        <v>499.25</v>
      </c>
      <c r="C32">
        <v>30.709900000000001</v>
      </c>
      <c r="D32">
        <v>30.91703</v>
      </c>
      <c r="E32">
        <v>32</v>
      </c>
      <c r="F32">
        <v>6.6320000000000004E-2</v>
      </c>
      <c r="G32">
        <v>5.2400000000000002E-2</v>
      </c>
      <c r="H32" t="s">
        <v>44</v>
      </c>
      <c r="I32" t="s">
        <v>59</v>
      </c>
      <c r="J32">
        <f>B32+B33</f>
        <v>852.79</v>
      </c>
      <c r="K32">
        <f>MAX(E32:E33)</f>
        <v>32</v>
      </c>
      <c r="L32">
        <f>AVERAGE(F32:G33)</f>
        <v>5.9075000000000003E-2</v>
      </c>
    </row>
    <row r="33" spans="1:12" x14ac:dyDescent="0.25">
      <c r="A33">
        <v>478</v>
      </c>
      <c r="B33">
        <v>353.54</v>
      </c>
      <c r="C33">
        <v>34.020359999999997</v>
      </c>
      <c r="D33">
        <v>34.624890000000001</v>
      </c>
      <c r="E33">
        <v>32</v>
      </c>
      <c r="F33">
        <v>8.1799999999999998E-2</v>
      </c>
      <c r="G33">
        <v>3.5779999999999999E-2</v>
      </c>
      <c r="H33" t="s">
        <v>43</v>
      </c>
    </row>
    <row r="34" spans="1:12" x14ac:dyDescent="0.25">
      <c r="A34">
        <v>49317</v>
      </c>
      <c r="B34">
        <v>350.73</v>
      </c>
      <c r="C34">
        <v>20.350639999999999</v>
      </c>
      <c r="D34">
        <v>20.496420000000001</v>
      </c>
      <c r="E34">
        <v>32</v>
      </c>
      <c r="F34">
        <v>8.2989999999999994E-2</v>
      </c>
      <c r="G34">
        <v>6.3549999999999995E-2</v>
      </c>
      <c r="H34" t="s">
        <v>45</v>
      </c>
      <c r="I34" t="s">
        <v>71</v>
      </c>
      <c r="J34">
        <f>B34+B35</f>
        <v>567.23</v>
      </c>
      <c r="K34">
        <f>MAX(E34:E35)</f>
        <v>32</v>
      </c>
      <c r="L34">
        <f>AVERAGE(F34:G35)</f>
        <v>6.0230000000000006E-2</v>
      </c>
    </row>
    <row r="35" spans="1:12" x14ac:dyDescent="0.25">
      <c r="A35">
        <v>49896</v>
      </c>
      <c r="B35">
        <v>216.5</v>
      </c>
      <c r="C35">
        <v>16.858360000000001</v>
      </c>
      <c r="D35">
        <v>17.004110000000001</v>
      </c>
      <c r="E35">
        <v>32</v>
      </c>
      <c r="F35">
        <v>5.074E-2</v>
      </c>
      <c r="G35">
        <v>4.3639999999999998E-2</v>
      </c>
      <c r="H35" t="s">
        <v>46</v>
      </c>
    </row>
    <row r="36" spans="1:12" x14ac:dyDescent="0.25">
      <c r="A36">
        <v>49318</v>
      </c>
      <c r="B36">
        <v>229.06</v>
      </c>
      <c r="C36">
        <v>26.452739999999999</v>
      </c>
      <c r="D36">
        <v>26.518609999999999</v>
      </c>
      <c r="E36">
        <v>32</v>
      </c>
      <c r="F36">
        <v>5.1999999999999998E-2</v>
      </c>
      <c r="G36">
        <v>4.122E-2</v>
      </c>
      <c r="H36" t="s">
        <v>47</v>
      </c>
      <c r="I36" t="s">
        <v>68</v>
      </c>
      <c r="J36">
        <f>B36+B37</f>
        <v>585.85</v>
      </c>
      <c r="K36">
        <f>MAX(E36:E37)</f>
        <v>32</v>
      </c>
      <c r="L36">
        <f>AVERAGE(F36:G37)</f>
        <v>6.2772499999999995E-2</v>
      </c>
    </row>
    <row r="37" spans="1:12" x14ac:dyDescent="0.25">
      <c r="A37">
        <v>49893</v>
      </c>
      <c r="B37">
        <v>356.79</v>
      </c>
      <c r="C37">
        <v>13.39484</v>
      </c>
      <c r="D37">
        <v>13.51685</v>
      </c>
      <c r="E37">
        <v>32</v>
      </c>
      <c r="F37">
        <v>8.6440000000000003E-2</v>
      </c>
      <c r="G37">
        <v>7.1429999999999993E-2</v>
      </c>
      <c r="H37" t="s">
        <v>48</v>
      </c>
    </row>
    <row r="38" spans="1:12" x14ac:dyDescent="0.25">
      <c r="A38">
        <v>48177</v>
      </c>
      <c r="B38">
        <v>74.260000000000005</v>
      </c>
      <c r="C38">
        <v>53.064039999999999</v>
      </c>
      <c r="D38">
        <v>54.000950000000003</v>
      </c>
      <c r="E38">
        <v>50</v>
      </c>
      <c r="F38">
        <v>3.9199999999999999E-3</v>
      </c>
      <c r="G38">
        <v>0</v>
      </c>
      <c r="H38" t="s">
        <v>50</v>
      </c>
      <c r="I38" t="s">
        <v>72</v>
      </c>
      <c r="J38">
        <f>B38+B39</f>
        <v>147.44</v>
      </c>
      <c r="K38">
        <f>MAX(E38:E39)</f>
        <v>50</v>
      </c>
      <c r="L38">
        <f>AVERAGE(F38:G39)</f>
        <v>2.9175E-3</v>
      </c>
    </row>
    <row r="39" spans="1:12" x14ac:dyDescent="0.25">
      <c r="A39">
        <v>48178</v>
      </c>
      <c r="B39">
        <v>73.180000000000007</v>
      </c>
      <c r="C39">
        <v>53.804510000000001</v>
      </c>
      <c r="D39">
        <v>54.46913</v>
      </c>
      <c r="E39">
        <v>50</v>
      </c>
      <c r="F39">
        <v>7.7499999999999999E-3</v>
      </c>
      <c r="G39">
        <v>0</v>
      </c>
      <c r="H39" t="s">
        <v>49</v>
      </c>
    </row>
    <row r="40" spans="1:12" x14ac:dyDescent="0.25">
      <c r="A40">
        <v>49265</v>
      </c>
      <c r="B40">
        <v>333.41</v>
      </c>
      <c r="C40">
        <v>27.812059999999999</v>
      </c>
      <c r="D40">
        <v>28.287739999999999</v>
      </c>
      <c r="E40">
        <v>32</v>
      </c>
      <c r="F40">
        <v>7.9589999999999994E-2</v>
      </c>
      <c r="G40">
        <v>2.002E-2</v>
      </c>
      <c r="H40" t="s">
        <v>40</v>
      </c>
      <c r="I40" t="s">
        <v>60</v>
      </c>
      <c r="J40">
        <f>B40+B41</f>
        <v>607.72</v>
      </c>
      <c r="K40">
        <f>MAX(E40:E41)</f>
        <v>32</v>
      </c>
      <c r="L40">
        <f>AVERAGE(F40:G41)</f>
        <v>5.3502499999999995E-2</v>
      </c>
    </row>
    <row r="41" spans="1:12" x14ac:dyDescent="0.25">
      <c r="A41">
        <v>49266</v>
      </c>
      <c r="B41">
        <v>274.31</v>
      </c>
      <c r="C41">
        <v>29.476590000000002</v>
      </c>
      <c r="D41">
        <v>29.808119999999999</v>
      </c>
      <c r="E41">
        <v>32</v>
      </c>
      <c r="F41">
        <v>8.6209999999999995E-2</v>
      </c>
      <c r="G41">
        <v>2.819E-2</v>
      </c>
      <c r="H41" t="s">
        <v>39</v>
      </c>
    </row>
    <row r="42" spans="1:12" x14ac:dyDescent="0.25">
      <c r="A42">
        <v>49267</v>
      </c>
      <c r="B42">
        <v>236.2</v>
      </c>
      <c r="C42">
        <v>31.864409999999999</v>
      </c>
      <c r="D42">
        <v>31.510860000000001</v>
      </c>
      <c r="E42">
        <v>32</v>
      </c>
      <c r="F42">
        <v>0.11133999999999999</v>
      </c>
      <c r="G42">
        <v>3.6299999999999999E-2</v>
      </c>
      <c r="H42" t="s">
        <v>38</v>
      </c>
      <c r="I42" t="s">
        <v>61</v>
      </c>
      <c r="J42">
        <f>B42+B43</f>
        <v>563.54999999999995</v>
      </c>
      <c r="K42">
        <f>MAX(E42:E43)</f>
        <v>32</v>
      </c>
      <c r="L42">
        <f>AVERAGE(F42:G43)</f>
        <v>6.7012499999999989E-2</v>
      </c>
    </row>
    <row r="43" spans="1:12" x14ac:dyDescent="0.25">
      <c r="A43">
        <v>49268</v>
      </c>
      <c r="B43">
        <v>327.35000000000002</v>
      </c>
      <c r="C43">
        <v>29.39518</v>
      </c>
      <c r="D43">
        <v>29.551580000000001</v>
      </c>
      <c r="E43">
        <v>32</v>
      </c>
      <c r="F43">
        <v>7.3529999999999998E-2</v>
      </c>
      <c r="G43">
        <v>4.6879999999999998E-2</v>
      </c>
      <c r="H43" t="s">
        <v>37</v>
      </c>
    </row>
    <row r="44" spans="1:12" x14ac:dyDescent="0.25">
      <c r="A44">
        <v>49270</v>
      </c>
      <c r="B44">
        <v>288.58999999999997</v>
      </c>
      <c r="C44">
        <v>24.96677</v>
      </c>
      <c r="D44">
        <v>25.06531</v>
      </c>
      <c r="E44">
        <v>32</v>
      </c>
      <c r="F44">
        <v>5.8020000000000002E-2</v>
      </c>
      <c r="G44">
        <v>3.4810000000000001E-2</v>
      </c>
      <c r="H44" t="s">
        <v>41</v>
      </c>
      <c r="I44" t="s">
        <v>62</v>
      </c>
      <c r="J44">
        <f>B44+B45</f>
        <v>521.32999999999993</v>
      </c>
      <c r="K44">
        <f>MAX(E44:E45)</f>
        <v>32</v>
      </c>
      <c r="L44">
        <f>AVERAGE(F44:G45)</f>
        <v>5.4974999999999996E-2</v>
      </c>
    </row>
    <row r="45" spans="1:12" x14ac:dyDescent="0.25">
      <c r="A45">
        <v>49271</v>
      </c>
      <c r="B45">
        <v>232.74</v>
      </c>
      <c r="C45">
        <v>29.036200000000001</v>
      </c>
      <c r="D45">
        <v>29.345970000000001</v>
      </c>
      <c r="E45">
        <v>32</v>
      </c>
      <c r="F45">
        <v>7.8789999999999999E-2</v>
      </c>
      <c r="G45">
        <v>4.8280000000000003E-2</v>
      </c>
      <c r="H45" t="s">
        <v>42</v>
      </c>
    </row>
    <row r="46" spans="1:12" x14ac:dyDescent="0.25">
      <c r="A46">
        <v>49902</v>
      </c>
      <c r="B46">
        <v>13.64</v>
      </c>
      <c r="C46">
        <v>29.6721</v>
      </c>
      <c r="D46">
        <v>32.6541</v>
      </c>
      <c r="E46">
        <v>32</v>
      </c>
      <c r="F46">
        <v>8.6959999999999996E-2</v>
      </c>
      <c r="G46">
        <v>2.5000000000000001E-2</v>
      </c>
      <c r="H46" t="s">
        <v>32</v>
      </c>
      <c r="I46" t="s">
        <v>73</v>
      </c>
      <c r="J46">
        <f>B46+B47</f>
        <v>29.88</v>
      </c>
      <c r="K46">
        <f>MAX(E46:E47)</f>
        <v>32</v>
      </c>
      <c r="L46">
        <f>AVERAGE(F46:G47)</f>
        <v>0.11518500000000001</v>
      </c>
    </row>
    <row r="47" spans="1:12" x14ac:dyDescent="0.25">
      <c r="A47">
        <v>49892</v>
      </c>
      <c r="B47">
        <v>16.239999999999998</v>
      </c>
      <c r="C47">
        <v>19.797029999999999</v>
      </c>
      <c r="D47">
        <v>24.023330000000001</v>
      </c>
      <c r="E47">
        <v>32</v>
      </c>
      <c r="F47">
        <v>0.17857000000000001</v>
      </c>
      <c r="G47">
        <v>0.17021</v>
      </c>
      <c r="H47" t="s">
        <v>31</v>
      </c>
    </row>
    <row r="48" spans="1:12" x14ac:dyDescent="0.25">
      <c r="A48">
        <v>49899</v>
      </c>
      <c r="B48">
        <v>18.190000000000001</v>
      </c>
      <c r="C48">
        <v>32.863959999999999</v>
      </c>
      <c r="D48">
        <v>33.287419999999997</v>
      </c>
      <c r="E48">
        <v>32</v>
      </c>
      <c r="F48">
        <v>0</v>
      </c>
      <c r="G48">
        <v>0</v>
      </c>
      <c r="H48" t="s">
        <v>33</v>
      </c>
      <c r="I48" t="s">
        <v>74</v>
      </c>
      <c r="J48">
        <f>B48+B49</f>
        <v>27.07</v>
      </c>
      <c r="K48">
        <f>MAX(E48:E49)</f>
        <v>32</v>
      </c>
      <c r="L48">
        <f>AVERAGE(F48:G49)</f>
        <v>0</v>
      </c>
    </row>
    <row r="49" spans="1:8" x14ac:dyDescent="0.25">
      <c r="A49">
        <v>49903</v>
      </c>
      <c r="B49">
        <v>8.8800000000000008</v>
      </c>
      <c r="C49">
        <v>30.15185</v>
      </c>
      <c r="D49">
        <v>31.380320000000001</v>
      </c>
      <c r="E49">
        <v>32</v>
      </c>
      <c r="F49">
        <v>0</v>
      </c>
      <c r="G49">
        <v>0</v>
      </c>
      <c r="H49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BFBB8-4560-4080-B825-81EA491698EC}">
  <sheetPr codeName="Sheet3">
    <tabColor theme="0" tint="-0.14999847407452621"/>
  </sheetPr>
  <dimension ref="A1:L53"/>
  <sheetViews>
    <sheetView workbookViewId="0">
      <selection activeCell="I7" sqref="I7"/>
    </sheetView>
  </sheetViews>
  <sheetFormatPr defaultRowHeight="15" x14ac:dyDescent="0.25"/>
  <cols>
    <col min="1" max="1" width="7" bestFit="1" customWidth="1"/>
    <col min="2" max="2" width="32.85546875" customWidth="1"/>
    <col min="3" max="3" width="11.42578125" bestFit="1" customWidth="1"/>
    <col min="4" max="4" width="11.28515625" bestFit="1" customWidth="1"/>
    <col min="5" max="5" width="10.7109375" bestFit="1" customWidth="1"/>
    <col min="6" max="6" width="10.28515625" bestFit="1" customWidth="1"/>
    <col min="7" max="7" width="10.140625" bestFit="1" customWidth="1"/>
    <col min="8" max="8" width="27.5703125" bestFit="1" customWidth="1"/>
    <col min="9" max="9" width="27.28515625" bestFit="1" customWidth="1"/>
    <col min="12" max="12" width="27.285156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J1" t="s">
        <v>1</v>
      </c>
      <c r="K1" t="s">
        <v>69</v>
      </c>
      <c r="L1" t="s">
        <v>63</v>
      </c>
    </row>
    <row r="2" spans="1:12" x14ac:dyDescent="0.25">
      <c r="A2">
        <v>504</v>
      </c>
      <c r="B2">
        <v>28843.645499999999</v>
      </c>
      <c r="C2">
        <v>97.65746</v>
      </c>
      <c r="D2">
        <v>97.901520000000005</v>
      </c>
      <c r="E2">
        <v>120</v>
      </c>
      <c r="F2">
        <v>0.1002</v>
      </c>
      <c r="G2">
        <v>5.552E-2</v>
      </c>
      <c r="H2" t="s">
        <v>12</v>
      </c>
      <c r="I2" t="s">
        <v>12</v>
      </c>
      <c r="J2">
        <f t="shared" ref="J2:J7" si="0">B2</f>
        <v>28843.645499999999</v>
      </c>
      <c r="K2">
        <f t="shared" ref="K2:K7" si="1">E2</f>
        <v>120</v>
      </c>
      <c r="L2">
        <f t="shared" ref="L2:L7" si="2">AVERAGE(F2:G2)</f>
        <v>7.7859999999999999E-2</v>
      </c>
    </row>
    <row r="3" spans="1:12" x14ac:dyDescent="0.25">
      <c r="A3">
        <v>48032</v>
      </c>
      <c r="B3">
        <v>35016.71</v>
      </c>
      <c r="C3">
        <v>97.806160000000006</v>
      </c>
      <c r="D3">
        <v>100.37345999999999</v>
      </c>
      <c r="E3">
        <v>120</v>
      </c>
      <c r="F3">
        <v>7.2120000000000004E-2</v>
      </c>
      <c r="G3">
        <v>5.2540000000000003E-2</v>
      </c>
      <c r="H3" t="s">
        <v>11</v>
      </c>
      <c r="I3" t="s">
        <v>11</v>
      </c>
      <c r="J3">
        <f t="shared" si="0"/>
        <v>35016.71</v>
      </c>
      <c r="K3">
        <f t="shared" si="1"/>
        <v>120</v>
      </c>
      <c r="L3">
        <f t="shared" si="2"/>
        <v>6.2330000000000003E-2</v>
      </c>
    </row>
    <row r="4" spans="1:12" x14ac:dyDescent="0.25">
      <c r="A4">
        <v>47938</v>
      </c>
      <c r="B4">
        <v>36125.19</v>
      </c>
      <c r="C4">
        <v>97.865600000000001</v>
      </c>
      <c r="D4">
        <v>100.59486</v>
      </c>
      <c r="E4">
        <v>120</v>
      </c>
      <c r="F4">
        <v>6.966E-2</v>
      </c>
      <c r="G4">
        <v>5.0810000000000001E-2</v>
      </c>
      <c r="H4" t="s">
        <v>7</v>
      </c>
      <c r="I4" t="s">
        <v>7</v>
      </c>
      <c r="J4">
        <f t="shared" si="0"/>
        <v>36125.19</v>
      </c>
      <c r="K4">
        <f t="shared" si="1"/>
        <v>120</v>
      </c>
      <c r="L4">
        <f t="shared" si="2"/>
        <v>6.0234999999999997E-2</v>
      </c>
    </row>
    <row r="5" spans="1:12" x14ac:dyDescent="0.25">
      <c r="A5">
        <v>48042</v>
      </c>
      <c r="B5">
        <v>28844.0785</v>
      </c>
      <c r="C5">
        <v>97.988939999999999</v>
      </c>
      <c r="D5">
        <v>96.762349999999998</v>
      </c>
      <c r="E5">
        <v>120</v>
      </c>
      <c r="F5">
        <v>0.10051</v>
      </c>
      <c r="G5">
        <v>5.5739999999999998E-2</v>
      </c>
      <c r="H5" t="s">
        <v>8</v>
      </c>
      <c r="I5" t="s">
        <v>8</v>
      </c>
      <c r="J5">
        <f t="shared" si="0"/>
        <v>28844.0785</v>
      </c>
      <c r="K5">
        <f t="shared" si="1"/>
        <v>120</v>
      </c>
      <c r="L5">
        <f t="shared" si="2"/>
        <v>7.8125E-2</v>
      </c>
    </row>
    <row r="6" spans="1:12" x14ac:dyDescent="0.25">
      <c r="A6">
        <v>47939</v>
      </c>
      <c r="B6">
        <v>28977.659</v>
      </c>
      <c r="C6">
        <v>99.023929999999993</v>
      </c>
      <c r="D6">
        <v>98.762100000000004</v>
      </c>
      <c r="E6">
        <v>120</v>
      </c>
      <c r="F6">
        <v>0.10074</v>
      </c>
      <c r="G6">
        <v>5.5690000000000003E-2</v>
      </c>
      <c r="H6" t="s">
        <v>10</v>
      </c>
      <c r="I6" t="s">
        <v>10</v>
      </c>
      <c r="J6">
        <f t="shared" si="0"/>
        <v>28977.659</v>
      </c>
      <c r="K6">
        <f t="shared" si="1"/>
        <v>120</v>
      </c>
      <c r="L6">
        <f t="shared" si="2"/>
        <v>7.8215000000000007E-2</v>
      </c>
    </row>
    <row r="7" spans="1:12" x14ac:dyDescent="0.25">
      <c r="A7">
        <v>48061</v>
      </c>
      <c r="B7">
        <v>35997.238499999999</v>
      </c>
      <c r="C7">
        <v>97.60472</v>
      </c>
      <c r="D7">
        <v>100.48730999999999</v>
      </c>
      <c r="E7">
        <v>120</v>
      </c>
      <c r="F7">
        <v>6.9540000000000005E-2</v>
      </c>
      <c r="G7">
        <v>5.0770000000000003E-2</v>
      </c>
      <c r="H7" t="s">
        <v>9</v>
      </c>
      <c r="I7" t="s">
        <v>9</v>
      </c>
      <c r="J7">
        <f t="shared" si="0"/>
        <v>35997.238499999999</v>
      </c>
      <c r="K7">
        <f t="shared" si="1"/>
        <v>120</v>
      </c>
      <c r="L7">
        <f t="shared" si="2"/>
        <v>6.0155E-2</v>
      </c>
    </row>
    <row r="8" spans="1:12" x14ac:dyDescent="0.25">
      <c r="A8">
        <v>48055</v>
      </c>
      <c r="B8">
        <v>1952.3969999999999</v>
      </c>
      <c r="C8">
        <v>48.673119999999997</v>
      </c>
      <c r="D8">
        <v>48.535629999999998</v>
      </c>
      <c r="E8">
        <v>50</v>
      </c>
      <c r="F8">
        <v>8.8299999999999993E-3</v>
      </c>
      <c r="G8">
        <v>3.5599999999999998E-3</v>
      </c>
      <c r="H8" t="s">
        <v>14</v>
      </c>
      <c r="I8" t="s">
        <v>64</v>
      </c>
      <c r="J8">
        <f>B8+B9</f>
        <v>2885.9449999999997</v>
      </c>
      <c r="K8">
        <f>MAX(E8:E9)</f>
        <v>50</v>
      </c>
      <c r="L8">
        <f>AVERAGE(F8:G9)</f>
        <v>1.31825E-2</v>
      </c>
    </row>
    <row r="9" spans="1:12" x14ac:dyDescent="0.25">
      <c r="A9">
        <v>300903</v>
      </c>
      <c r="B9">
        <v>933.548</v>
      </c>
      <c r="C9">
        <v>53.71848</v>
      </c>
      <c r="D9">
        <v>52.275790000000001</v>
      </c>
      <c r="E9">
        <v>50</v>
      </c>
      <c r="F9">
        <v>2.3130000000000001E-2</v>
      </c>
      <c r="G9">
        <v>1.721E-2</v>
      </c>
      <c r="H9" t="s">
        <v>13</v>
      </c>
    </row>
    <row r="10" spans="1:12" x14ac:dyDescent="0.25">
      <c r="A10">
        <v>49278</v>
      </c>
      <c r="B10">
        <v>337.52350000000001</v>
      </c>
      <c r="C10">
        <v>29.186109999999999</v>
      </c>
      <c r="D10">
        <v>28.954360000000001</v>
      </c>
      <c r="E10">
        <v>32</v>
      </c>
      <c r="F10">
        <v>9.7710000000000005E-2</v>
      </c>
      <c r="G10">
        <v>3.8359999999999998E-2</v>
      </c>
      <c r="H10" t="s">
        <v>16</v>
      </c>
      <c r="I10" t="s">
        <v>66</v>
      </c>
      <c r="J10">
        <f>B10+B11</f>
        <v>615.726</v>
      </c>
      <c r="K10">
        <f>MAX(E10:E11)</f>
        <v>32</v>
      </c>
      <c r="L10">
        <f>AVERAGE(F10:G11)</f>
        <v>6.5617499999999995E-2</v>
      </c>
    </row>
    <row r="11" spans="1:12" x14ac:dyDescent="0.25">
      <c r="A11">
        <v>49294</v>
      </c>
      <c r="B11">
        <v>278.20249999999999</v>
      </c>
      <c r="C11">
        <v>31.034020000000002</v>
      </c>
      <c r="D11">
        <v>31.336760000000002</v>
      </c>
      <c r="E11">
        <v>32</v>
      </c>
      <c r="F11">
        <v>7.7170000000000002E-2</v>
      </c>
      <c r="G11">
        <v>4.9230000000000003E-2</v>
      </c>
      <c r="H11" t="s">
        <v>15</v>
      </c>
    </row>
    <row r="12" spans="1:12" x14ac:dyDescent="0.25">
      <c r="A12">
        <v>49291</v>
      </c>
      <c r="B12">
        <v>79.455500000000001</v>
      </c>
      <c r="C12">
        <v>32.861139999999999</v>
      </c>
      <c r="D12">
        <v>33.320970000000003</v>
      </c>
      <c r="E12">
        <v>32</v>
      </c>
      <c r="F12">
        <v>0.21739</v>
      </c>
      <c r="G12">
        <v>8.1250000000000003E-2</v>
      </c>
      <c r="H12" t="s">
        <v>18</v>
      </c>
      <c r="I12" t="s">
        <v>67</v>
      </c>
      <c r="J12">
        <f>B12+B13</f>
        <v>116.91</v>
      </c>
      <c r="K12">
        <f>MAX(E12:E13)</f>
        <v>32</v>
      </c>
      <c r="L12">
        <f>AVERAGE(F12:G13)</f>
        <v>0.1923425</v>
      </c>
    </row>
    <row r="13" spans="1:12" x14ac:dyDescent="0.25">
      <c r="A13">
        <v>49304</v>
      </c>
      <c r="B13">
        <v>37.454500000000003</v>
      </c>
      <c r="C13">
        <v>33.421460000000003</v>
      </c>
      <c r="D13">
        <v>32.979939999999999</v>
      </c>
      <c r="E13">
        <v>32</v>
      </c>
      <c r="F13">
        <v>0.17072999999999999</v>
      </c>
      <c r="G13">
        <v>0.3</v>
      </c>
      <c r="H13" t="s">
        <v>17</v>
      </c>
    </row>
    <row r="14" spans="1:12" x14ac:dyDescent="0.25">
      <c r="A14">
        <v>5658</v>
      </c>
      <c r="B14">
        <v>262.18150000000003</v>
      </c>
      <c r="C14">
        <v>26.59789</v>
      </c>
      <c r="D14">
        <v>26.605049999999999</v>
      </c>
      <c r="E14">
        <v>32</v>
      </c>
      <c r="F14">
        <v>5.5840000000000001E-2</v>
      </c>
      <c r="G14">
        <v>2.581E-2</v>
      </c>
      <c r="H14" t="s">
        <v>19</v>
      </c>
      <c r="I14" t="s">
        <v>65</v>
      </c>
      <c r="J14">
        <f>B14+B15</f>
        <v>478.46500000000003</v>
      </c>
      <c r="K14">
        <f>MAX(E14:E15)</f>
        <v>32</v>
      </c>
      <c r="L14">
        <f>AVERAGE(F14:G15)</f>
        <v>5.67275E-2</v>
      </c>
    </row>
    <row r="15" spans="1:12" x14ac:dyDescent="0.25">
      <c r="A15">
        <v>49307</v>
      </c>
      <c r="B15">
        <v>216.2835</v>
      </c>
      <c r="C15">
        <v>32.953780000000002</v>
      </c>
      <c r="D15">
        <v>33.122590000000002</v>
      </c>
      <c r="E15">
        <v>32</v>
      </c>
      <c r="F15">
        <v>9.0910000000000005E-2</v>
      </c>
      <c r="G15">
        <v>5.4350000000000002E-2</v>
      </c>
      <c r="H15" t="s">
        <v>20</v>
      </c>
    </row>
    <row r="16" spans="1:12" x14ac:dyDescent="0.25">
      <c r="A16">
        <v>4843</v>
      </c>
      <c r="B16">
        <v>88.981499999999997</v>
      </c>
      <c r="C16">
        <v>52.511650000000003</v>
      </c>
      <c r="D16">
        <v>52.436329999999998</v>
      </c>
      <c r="E16">
        <v>50</v>
      </c>
      <c r="F16">
        <v>8.6580000000000004E-2</v>
      </c>
      <c r="G16">
        <v>8.3330000000000001E-2</v>
      </c>
      <c r="H16" t="s">
        <v>22</v>
      </c>
      <c r="I16" t="s">
        <v>22</v>
      </c>
      <c r="J16">
        <f>B16+B17</f>
        <v>88.981499999999997</v>
      </c>
      <c r="K16">
        <f>MAX(E16:E17)</f>
        <v>50</v>
      </c>
      <c r="L16">
        <f>AVERAGE(F16:G17)</f>
        <v>4.2477500000000001E-2</v>
      </c>
    </row>
    <row r="17" spans="1:12" x14ac:dyDescent="0.25">
      <c r="A17">
        <v>47962</v>
      </c>
      <c r="B17">
        <v>0</v>
      </c>
      <c r="C17">
        <v>-1</v>
      </c>
      <c r="D17">
        <v>-1</v>
      </c>
      <c r="E17">
        <v>50</v>
      </c>
      <c r="F17">
        <v>0</v>
      </c>
      <c r="G17">
        <v>0</v>
      </c>
      <c r="H17" t="s">
        <v>21</v>
      </c>
    </row>
    <row r="18" spans="1:12" x14ac:dyDescent="0.25">
      <c r="A18">
        <v>3097</v>
      </c>
      <c r="B18">
        <v>215.20099999999999</v>
      </c>
      <c r="C18">
        <v>44.627740000000003</v>
      </c>
      <c r="D18">
        <v>45.974040000000002</v>
      </c>
      <c r="E18">
        <v>50</v>
      </c>
      <c r="F18">
        <v>9.5509999999999998E-2</v>
      </c>
      <c r="G18">
        <v>5.8700000000000002E-2</v>
      </c>
      <c r="H18" t="s">
        <v>23</v>
      </c>
      <c r="I18" t="s">
        <v>24</v>
      </c>
      <c r="J18">
        <f>B18+B19</f>
        <v>585.63250000000005</v>
      </c>
      <c r="K18">
        <f>MAX(E18:E19)</f>
        <v>50</v>
      </c>
      <c r="L18">
        <f>AVERAGE(F18:G19)</f>
        <v>6.7615000000000008E-2</v>
      </c>
    </row>
    <row r="19" spans="1:12" x14ac:dyDescent="0.25">
      <c r="A19">
        <v>48211</v>
      </c>
      <c r="B19">
        <v>370.43150000000003</v>
      </c>
      <c r="C19">
        <v>38.626649999999998</v>
      </c>
      <c r="D19">
        <v>38.821680000000001</v>
      </c>
      <c r="E19">
        <v>50</v>
      </c>
      <c r="F19">
        <v>7.3719999999999994E-2</v>
      </c>
      <c r="G19">
        <v>4.2529999999999998E-2</v>
      </c>
      <c r="H19" t="s">
        <v>24</v>
      </c>
    </row>
    <row r="20" spans="1:12" x14ac:dyDescent="0.25">
      <c r="A20">
        <v>43145</v>
      </c>
      <c r="B20">
        <v>586.49850000000004</v>
      </c>
      <c r="C20">
        <v>48.840490000000003</v>
      </c>
      <c r="D20">
        <v>49.057490000000001</v>
      </c>
      <c r="E20">
        <v>50</v>
      </c>
      <c r="F20">
        <v>5.7290000000000001E-2</v>
      </c>
      <c r="G20">
        <v>3.3079999999999998E-2</v>
      </c>
      <c r="H20" t="s">
        <v>26</v>
      </c>
      <c r="I20" t="s">
        <v>25</v>
      </c>
      <c r="J20">
        <f>B20+B21</f>
        <v>1620.2860000000001</v>
      </c>
      <c r="K20">
        <f>MAX(E20:E21)</f>
        <v>50</v>
      </c>
      <c r="L20">
        <f>AVERAGE(F20:G21)</f>
        <v>4.5647500000000001E-2</v>
      </c>
    </row>
    <row r="21" spans="1:12" x14ac:dyDescent="0.25">
      <c r="A21">
        <v>49907</v>
      </c>
      <c r="B21">
        <v>1033.7874999999999</v>
      </c>
      <c r="C21">
        <v>44.172539999999998</v>
      </c>
      <c r="D21">
        <v>45.05283</v>
      </c>
      <c r="E21">
        <v>50</v>
      </c>
      <c r="F21">
        <v>5.3469999999999997E-2</v>
      </c>
      <c r="G21">
        <v>3.875E-2</v>
      </c>
      <c r="H21" t="s">
        <v>25</v>
      </c>
    </row>
    <row r="22" spans="1:12" x14ac:dyDescent="0.25">
      <c r="A22">
        <v>5661</v>
      </c>
      <c r="B22">
        <v>1037.9010000000001</v>
      </c>
      <c r="C22">
        <v>51.087820000000001</v>
      </c>
      <c r="D22">
        <v>50.656300000000002</v>
      </c>
      <c r="E22">
        <v>50</v>
      </c>
      <c r="F22">
        <v>5.3080000000000002E-2</v>
      </c>
      <c r="G22">
        <v>3.8429999999999999E-2</v>
      </c>
      <c r="H22" t="s">
        <v>28</v>
      </c>
      <c r="I22" t="s">
        <v>28</v>
      </c>
      <c r="J22">
        <f>B22+B23</f>
        <v>1627.4304999999999</v>
      </c>
      <c r="K22">
        <f>MAX(E22:E23)</f>
        <v>50</v>
      </c>
      <c r="L22">
        <f>AVERAGE(F22:G23)</f>
        <v>4.5325000000000004E-2</v>
      </c>
    </row>
    <row r="23" spans="1:12" x14ac:dyDescent="0.25">
      <c r="A23">
        <v>49904</v>
      </c>
      <c r="B23">
        <v>589.52949999999998</v>
      </c>
      <c r="C23">
        <v>51.774560000000001</v>
      </c>
      <c r="D23">
        <v>52.065710000000003</v>
      </c>
      <c r="E23">
        <v>50</v>
      </c>
      <c r="F23">
        <v>5.6710000000000003E-2</v>
      </c>
      <c r="G23">
        <v>3.3079999999999998E-2</v>
      </c>
      <c r="H23" t="s">
        <v>27</v>
      </c>
    </row>
    <row r="24" spans="1:12" x14ac:dyDescent="0.25">
      <c r="A24">
        <v>5660</v>
      </c>
      <c r="B24">
        <v>4198.5844999999999</v>
      </c>
      <c r="C24">
        <v>66.054950000000005</v>
      </c>
      <c r="D24">
        <v>66.587010000000006</v>
      </c>
      <c r="E24">
        <v>64</v>
      </c>
      <c r="F24">
        <v>1.2710000000000001E-2</v>
      </c>
      <c r="G24">
        <v>7.4700000000000001E-3</v>
      </c>
      <c r="H24" t="s">
        <v>29</v>
      </c>
      <c r="I24" t="s">
        <v>30</v>
      </c>
      <c r="J24">
        <f>B24+B25</f>
        <v>7972.3959999999997</v>
      </c>
      <c r="K24">
        <f>MAX(E24:E25)</f>
        <v>64</v>
      </c>
      <c r="L24">
        <f>AVERAGE(F24:G25)</f>
        <v>1.7155E-2</v>
      </c>
    </row>
    <row r="25" spans="1:12" x14ac:dyDescent="0.25">
      <c r="A25">
        <v>43142</v>
      </c>
      <c r="B25">
        <v>3773.8114999999998</v>
      </c>
      <c r="C25">
        <v>64.760819999999995</v>
      </c>
      <c r="D25">
        <v>63.354799999999997</v>
      </c>
      <c r="E25">
        <v>64</v>
      </c>
      <c r="F25">
        <v>2.8230000000000002E-2</v>
      </c>
      <c r="G25">
        <v>2.0209999999999999E-2</v>
      </c>
      <c r="H25" t="s">
        <v>30</v>
      </c>
    </row>
    <row r="26" spans="1:12" x14ac:dyDescent="0.25">
      <c r="A26">
        <v>3374</v>
      </c>
      <c r="B26">
        <v>380.60700000000003</v>
      </c>
      <c r="C26">
        <v>36.07152</v>
      </c>
      <c r="D26">
        <v>37.251300000000001</v>
      </c>
      <c r="E26">
        <v>48</v>
      </c>
      <c r="F26">
        <v>0.12687000000000001</v>
      </c>
      <c r="G26">
        <v>8.2930000000000004E-2</v>
      </c>
      <c r="H26" t="s">
        <v>53</v>
      </c>
      <c r="I26" t="s">
        <v>53</v>
      </c>
      <c r="J26">
        <f>B26+B27</f>
        <v>1168.0174999999999</v>
      </c>
      <c r="K26">
        <f>MAX(E26:E27)</f>
        <v>48</v>
      </c>
      <c r="L26">
        <f>AVERAGE(F26:G27)</f>
        <v>8.2265000000000005E-2</v>
      </c>
    </row>
    <row r="27" spans="1:12" x14ac:dyDescent="0.25">
      <c r="A27">
        <v>3375</v>
      </c>
      <c r="B27">
        <v>787.41049999999996</v>
      </c>
      <c r="C27">
        <v>47.690579999999997</v>
      </c>
      <c r="D27">
        <v>47.680300000000003</v>
      </c>
      <c r="E27">
        <v>48</v>
      </c>
      <c r="F27">
        <v>7.2700000000000001E-2</v>
      </c>
      <c r="G27">
        <v>4.6559999999999997E-2</v>
      </c>
      <c r="H27" t="s">
        <v>54</v>
      </c>
    </row>
    <row r="28" spans="1:12" x14ac:dyDescent="0.25">
      <c r="A28">
        <v>4844</v>
      </c>
      <c r="B28">
        <v>11067.047</v>
      </c>
      <c r="C28">
        <v>79.466030000000003</v>
      </c>
      <c r="D28">
        <v>79.109430000000003</v>
      </c>
      <c r="E28">
        <v>80</v>
      </c>
      <c r="F28">
        <v>5.0560000000000001E-2</v>
      </c>
      <c r="G28">
        <v>1.9140000000000001E-2</v>
      </c>
      <c r="H28" t="s">
        <v>52</v>
      </c>
      <c r="I28" t="s">
        <v>70</v>
      </c>
      <c r="J28">
        <f>B28+B29</f>
        <v>26912.898500000003</v>
      </c>
      <c r="K28">
        <f>MAX(E28:E29)</f>
        <v>80</v>
      </c>
      <c r="L28">
        <f>AVERAGE(F28:G29)</f>
        <v>3.0404999999999998E-2</v>
      </c>
    </row>
    <row r="29" spans="1:12" x14ac:dyDescent="0.25">
      <c r="A29">
        <v>300962</v>
      </c>
      <c r="B29">
        <v>15845.851500000001</v>
      </c>
      <c r="C29">
        <v>79.308549999999997</v>
      </c>
      <c r="D29">
        <v>80.744420000000005</v>
      </c>
      <c r="E29">
        <v>80</v>
      </c>
      <c r="F29">
        <v>3.159E-2</v>
      </c>
      <c r="G29">
        <v>2.0330000000000001E-2</v>
      </c>
      <c r="H29" t="s">
        <v>51</v>
      </c>
    </row>
    <row r="30" spans="1:12" x14ac:dyDescent="0.25">
      <c r="A30">
        <v>5657</v>
      </c>
      <c r="B30">
        <v>340.33800000000002</v>
      </c>
      <c r="C30">
        <v>81.395489999999995</v>
      </c>
      <c r="D30">
        <v>82.828419999999994</v>
      </c>
      <c r="E30">
        <v>80</v>
      </c>
      <c r="F30">
        <v>0.10771</v>
      </c>
      <c r="G30">
        <v>7.3169999999999999E-2</v>
      </c>
      <c r="H30" t="s">
        <v>36</v>
      </c>
      <c r="I30" t="s">
        <v>36</v>
      </c>
      <c r="J30">
        <f>B30+B31</f>
        <v>489.93950000000001</v>
      </c>
      <c r="K30">
        <f>MAX(E30:E31)</f>
        <v>80</v>
      </c>
      <c r="L30">
        <f>AVERAGE(F30:G31)</f>
        <v>9.2072500000000002E-2</v>
      </c>
    </row>
    <row r="31" spans="1:12" x14ac:dyDescent="0.25">
      <c r="A31">
        <v>47986</v>
      </c>
      <c r="B31">
        <v>149.60149999999999</v>
      </c>
      <c r="C31">
        <v>84.741389999999996</v>
      </c>
      <c r="D31">
        <v>84.786760000000001</v>
      </c>
      <c r="E31">
        <v>80</v>
      </c>
      <c r="F31">
        <v>0.10903</v>
      </c>
      <c r="G31">
        <v>7.8380000000000005E-2</v>
      </c>
      <c r="H31" t="s">
        <v>35</v>
      </c>
    </row>
    <row r="32" spans="1:12" x14ac:dyDescent="0.25">
      <c r="A32">
        <v>455</v>
      </c>
      <c r="B32">
        <v>461.14499999999998</v>
      </c>
      <c r="C32">
        <v>30.850149999999999</v>
      </c>
      <c r="D32">
        <v>30.937650000000001</v>
      </c>
      <c r="E32">
        <v>32</v>
      </c>
      <c r="F32">
        <v>6.6970000000000002E-2</v>
      </c>
      <c r="G32">
        <v>4.7120000000000002E-2</v>
      </c>
      <c r="H32" t="s">
        <v>44</v>
      </c>
      <c r="I32" t="s">
        <v>59</v>
      </c>
      <c r="J32">
        <f>B32+B33</f>
        <v>715.09950000000003</v>
      </c>
      <c r="K32">
        <f>MAX(E32:E33)</f>
        <v>32</v>
      </c>
      <c r="L32">
        <f>AVERAGE(F32:G33)</f>
        <v>6.4247499999999999E-2</v>
      </c>
    </row>
    <row r="33" spans="1:12" x14ac:dyDescent="0.25">
      <c r="A33">
        <v>478</v>
      </c>
      <c r="B33">
        <v>253.9545</v>
      </c>
      <c r="C33">
        <v>33.949959999999997</v>
      </c>
      <c r="D33">
        <v>34.453209999999999</v>
      </c>
      <c r="E33">
        <v>32</v>
      </c>
      <c r="F33">
        <v>8.5999999999999993E-2</v>
      </c>
      <c r="G33">
        <v>5.6899999999999999E-2</v>
      </c>
      <c r="H33" t="s">
        <v>43</v>
      </c>
    </row>
    <row r="34" spans="1:12" x14ac:dyDescent="0.25">
      <c r="A34">
        <v>49317</v>
      </c>
      <c r="B34">
        <v>314.791</v>
      </c>
      <c r="C34">
        <v>20.50638</v>
      </c>
      <c r="D34">
        <v>20.92539</v>
      </c>
      <c r="E34">
        <v>32</v>
      </c>
      <c r="F34">
        <v>7.9839999999999994E-2</v>
      </c>
      <c r="G34">
        <v>6.6669999999999993E-2</v>
      </c>
      <c r="H34" t="s">
        <v>45</v>
      </c>
      <c r="I34" t="s">
        <v>71</v>
      </c>
      <c r="J34">
        <f>B34+B35</f>
        <v>544.49749999999995</v>
      </c>
      <c r="K34">
        <f>MAX(E34:E35)</f>
        <v>32</v>
      </c>
      <c r="L34">
        <f>AVERAGE(F34:G35)</f>
        <v>6.8064999999999987E-2</v>
      </c>
    </row>
    <row r="35" spans="1:12" x14ac:dyDescent="0.25">
      <c r="A35">
        <v>49896</v>
      </c>
      <c r="B35">
        <v>229.70650000000001</v>
      </c>
      <c r="C35">
        <v>16.740390000000001</v>
      </c>
      <c r="D35">
        <v>16.815460000000002</v>
      </c>
      <c r="E35">
        <v>32</v>
      </c>
      <c r="F35">
        <v>7.8810000000000005E-2</v>
      </c>
      <c r="G35">
        <v>4.6940000000000003E-2</v>
      </c>
      <c r="H35" t="s">
        <v>46</v>
      </c>
    </row>
    <row r="36" spans="1:12" x14ac:dyDescent="0.25">
      <c r="A36">
        <v>49318</v>
      </c>
      <c r="B36">
        <v>233.82</v>
      </c>
      <c r="C36">
        <v>26.369140000000002</v>
      </c>
      <c r="D36">
        <v>26.492570000000001</v>
      </c>
      <c r="E36">
        <v>32</v>
      </c>
      <c r="F36">
        <v>7.9659999999999995E-2</v>
      </c>
      <c r="G36">
        <v>4.8980000000000003E-2</v>
      </c>
      <c r="H36" t="s">
        <v>47</v>
      </c>
      <c r="I36" t="s">
        <v>68</v>
      </c>
      <c r="J36">
        <f>B36+B37</f>
        <v>571.77649999999994</v>
      </c>
      <c r="K36">
        <f>MAX(E36:E37)</f>
        <v>32</v>
      </c>
      <c r="L36">
        <f>AVERAGE(F36:G37)</f>
        <v>7.1167499999999995E-2</v>
      </c>
    </row>
    <row r="37" spans="1:12" x14ac:dyDescent="0.25">
      <c r="A37">
        <v>49893</v>
      </c>
      <c r="B37">
        <v>337.95650000000001</v>
      </c>
      <c r="C37">
        <v>13.38349</v>
      </c>
      <c r="D37">
        <v>13.876810000000001</v>
      </c>
      <c r="E37">
        <v>32</v>
      </c>
      <c r="F37">
        <v>8.8499999999999995E-2</v>
      </c>
      <c r="G37">
        <v>6.7530000000000007E-2</v>
      </c>
      <c r="H37" t="s">
        <v>48</v>
      </c>
    </row>
    <row r="38" spans="1:12" x14ac:dyDescent="0.25">
      <c r="A38">
        <v>48177</v>
      </c>
      <c r="B38">
        <v>71.228499999999997</v>
      </c>
      <c r="C38">
        <v>53.461539999999999</v>
      </c>
      <c r="D38">
        <v>51.896540000000002</v>
      </c>
      <c r="E38">
        <v>50</v>
      </c>
      <c r="F38">
        <v>0</v>
      </c>
      <c r="G38">
        <v>0</v>
      </c>
      <c r="H38" t="s">
        <v>50</v>
      </c>
      <c r="I38" t="s">
        <v>72</v>
      </c>
      <c r="J38">
        <f>B38+B39</f>
        <v>71.878</v>
      </c>
      <c r="K38">
        <f>MAX(E38:E39)</f>
        <v>50</v>
      </c>
      <c r="L38">
        <f>AVERAGE(F38:G39)</f>
        <v>0</v>
      </c>
    </row>
    <row r="39" spans="1:12" x14ac:dyDescent="0.25">
      <c r="A39">
        <v>48178</v>
      </c>
      <c r="B39">
        <v>0.64949999999999997</v>
      </c>
      <c r="C39">
        <v>56.579219999999999</v>
      </c>
      <c r="D39">
        <v>54.712800000000001</v>
      </c>
      <c r="E39">
        <v>50</v>
      </c>
      <c r="F39">
        <v>0</v>
      </c>
      <c r="G39">
        <v>0</v>
      </c>
      <c r="H39" t="s">
        <v>49</v>
      </c>
    </row>
    <row r="40" spans="1:12" x14ac:dyDescent="0.25">
      <c r="A40">
        <v>49265</v>
      </c>
      <c r="B40">
        <v>276.47050000000002</v>
      </c>
      <c r="C40">
        <v>28.019100000000002</v>
      </c>
      <c r="D40">
        <v>28.350529999999999</v>
      </c>
      <c r="E40">
        <v>32</v>
      </c>
      <c r="F40">
        <v>7.0019999999999999E-2</v>
      </c>
      <c r="G40">
        <v>3.065E-2</v>
      </c>
      <c r="H40" t="s">
        <v>40</v>
      </c>
      <c r="I40" t="s">
        <v>60</v>
      </c>
      <c r="J40">
        <f>B40+B41</f>
        <v>535.62100000000009</v>
      </c>
      <c r="K40">
        <f>MAX(E40:E41)</f>
        <v>32</v>
      </c>
      <c r="L40">
        <f>AVERAGE(F40:G41)</f>
        <v>5.0227500000000001E-2</v>
      </c>
    </row>
    <row r="41" spans="1:12" x14ac:dyDescent="0.25">
      <c r="A41">
        <v>49266</v>
      </c>
      <c r="B41">
        <v>259.15050000000002</v>
      </c>
      <c r="C41">
        <v>29.223330000000001</v>
      </c>
      <c r="D41">
        <v>29.571190000000001</v>
      </c>
      <c r="E41">
        <v>32</v>
      </c>
      <c r="F41">
        <v>6.9470000000000004E-2</v>
      </c>
      <c r="G41">
        <v>3.0769999999999999E-2</v>
      </c>
      <c r="H41" t="s">
        <v>39</v>
      </c>
    </row>
    <row r="42" spans="1:12" x14ac:dyDescent="0.25">
      <c r="A42">
        <v>49267</v>
      </c>
      <c r="B42">
        <v>191.1695</v>
      </c>
      <c r="C42">
        <v>34.384239999999998</v>
      </c>
      <c r="D42">
        <v>34.800249999999998</v>
      </c>
      <c r="E42">
        <v>32</v>
      </c>
      <c r="F42">
        <v>0.10367</v>
      </c>
      <c r="G42">
        <v>7.8570000000000001E-2</v>
      </c>
      <c r="H42" t="s">
        <v>38</v>
      </c>
      <c r="I42" t="s">
        <v>61</v>
      </c>
      <c r="J42">
        <f>B42+B43</f>
        <v>473.91849999999999</v>
      </c>
      <c r="K42">
        <f>MAX(E42:E43)</f>
        <v>32</v>
      </c>
      <c r="L42">
        <f>AVERAGE(F42:G43)</f>
        <v>7.8062500000000007E-2</v>
      </c>
    </row>
    <row r="43" spans="1:12" x14ac:dyDescent="0.25">
      <c r="A43">
        <v>49268</v>
      </c>
      <c r="B43">
        <v>282.74900000000002</v>
      </c>
      <c r="C43">
        <v>29.509869999999999</v>
      </c>
      <c r="D43">
        <v>29.70974</v>
      </c>
      <c r="E43">
        <v>32</v>
      </c>
      <c r="F43">
        <v>6.9070000000000006E-2</v>
      </c>
      <c r="G43">
        <v>6.0940000000000001E-2</v>
      </c>
      <c r="H43" t="s">
        <v>37</v>
      </c>
    </row>
    <row r="44" spans="1:12" x14ac:dyDescent="0.25">
      <c r="A44">
        <v>49270</v>
      </c>
      <c r="B44">
        <v>277.98599999999999</v>
      </c>
      <c r="C44">
        <v>25.038329999999998</v>
      </c>
      <c r="D44">
        <v>25.25093</v>
      </c>
      <c r="E44">
        <v>32</v>
      </c>
      <c r="F44">
        <v>6.6229999999999997E-2</v>
      </c>
      <c r="G44">
        <v>2.0590000000000001E-2</v>
      </c>
      <c r="H44" t="s">
        <v>41</v>
      </c>
      <c r="I44" t="s">
        <v>62</v>
      </c>
      <c r="J44">
        <f>B44+B45</f>
        <v>468.50599999999997</v>
      </c>
      <c r="K44">
        <f>MAX(E44:E45)</f>
        <v>32</v>
      </c>
      <c r="L44">
        <f>AVERAGE(F44:G45)</f>
        <v>5.4579999999999997E-2</v>
      </c>
    </row>
    <row r="45" spans="1:12" x14ac:dyDescent="0.25">
      <c r="A45">
        <v>49271</v>
      </c>
      <c r="B45">
        <v>190.52</v>
      </c>
      <c r="C45">
        <v>29.28051</v>
      </c>
      <c r="D45">
        <v>29.38185</v>
      </c>
      <c r="E45">
        <v>32</v>
      </c>
      <c r="F45">
        <v>6.8089999999999998E-2</v>
      </c>
      <c r="G45">
        <v>6.3409999999999994E-2</v>
      </c>
      <c r="H45" t="s">
        <v>42</v>
      </c>
    </row>
    <row r="46" spans="1:12" x14ac:dyDescent="0.25">
      <c r="A46">
        <v>49902</v>
      </c>
      <c r="B46">
        <v>1.0825</v>
      </c>
      <c r="C46">
        <v>22.10727</v>
      </c>
      <c r="D46">
        <v>24.71236</v>
      </c>
      <c r="E46">
        <v>32</v>
      </c>
      <c r="F46">
        <v>0.4</v>
      </c>
      <c r="G46">
        <v>0</v>
      </c>
      <c r="H46" t="s">
        <v>32</v>
      </c>
      <c r="I46" t="s">
        <v>73</v>
      </c>
      <c r="J46">
        <f>B46+B47</f>
        <v>21.866499999999998</v>
      </c>
      <c r="K46">
        <f>MAX(E46:E47)</f>
        <v>32</v>
      </c>
      <c r="L46">
        <f>AVERAGE(F46:G47)</f>
        <v>0.20796500000000001</v>
      </c>
    </row>
    <row r="47" spans="1:12" x14ac:dyDescent="0.25">
      <c r="A47">
        <v>49892</v>
      </c>
      <c r="B47">
        <v>20.783999999999999</v>
      </c>
      <c r="C47">
        <v>25.935649999999999</v>
      </c>
      <c r="D47">
        <v>26.897469999999998</v>
      </c>
      <c r="E47">
        <v>32</v>
      </c>
      <c r="F47">
        <v>0.34615000000000001</v>
      </c>
      <c r="G47">
        <v>8.5709999999999995E-2</v>
      </c>
      <c r="H47" t="s">
        <v>31</v>
      </c>
    </row>
    <row r="48" spans="1:12" x14ac:dyDescent="0.25">
      <c r="A48">
        <v>49899</v>
      </c>
      <c r="B48">
        <v>3.2475000000000001</v>
      </c>
      <c r="C48">
        <v>33.569200000000002</v>
      </c>
      <c r="D48">
        <v>33.857019999999999</v>
      </c>
      <c r="E48">
        <v>32</v>
      </c>
      <c r="F48">
        <v>0</v>
      </c>
      <c r="G48">
        <v>0</v>
      </c>
      <c r="H48" t="s">
        <v>33</v>
      </c>
      <c r="I48" t="s">
        <v>74</v>
      </c>
      <c r="J48">
        <f>B48+B49</f>
        <v>5.8454999999999995</v>
      </c>
      <c r="K48">
        <f>MAX(E48:E49)</f>
        <v>32</v>
      </c>
      <c r="L48">
        <f>AVERAGE(F48:G49)</f>
        <v>0</v>
      </c>
    </row>
    <row r="49" spans="1:12" x14ac:dyDescent="0.25">
      <c r="A49">
        <v>49903</v>
      </c>
      <c r="B49">
        <v>2.5979999999999999</v>
      </c>
      <c r="C49">
        <v>28.783750000000001</v>
      </c>
      <c r="D49">
        <v>-1</v>
      </c>
      <c r="E49">
        <v>32</v>
      </c>
      <c r="F49">
        <v>0</v>
      </c>
      <c r="G49">
        <v>0</v>
      </c>
      <c r="H49" t="s">
        <v>34</v>
      </c>
    </row>
    <row r="50" spans="1:12" x14ac:dyDescent="0.25">
      <c r="A50">
        <v>300891</v>
      </c>
      <c r="B50">
        <v>1497.9635000000001</v>
      </c>
      <c r="C50">
        <v>54.471870000000003</v>
      </c>
      <c r="D50">
        <v>54.41854</v>
      </c>
      <c r="E50">
        <v>48</v>
      </c>
      <c r="F50">
        <v>2.368E-2</v>
      </c>
      <c r="G50">
        <v>1.4409999999999999E-2</v>
      </c>
      <c r="H50" t="s">
        <v>55</v>
      </c>
      <c r="I50" t="s">
        <v>55</v>
      </c>
      <c r="J50">
        <f t="shared" ref="J50" si="3">B50</f>
        <v>1497.9635000000001</v>
      </c>
      <c r="K50">
        <f t="shared" ref="K50" si="4">E50</f>
        <v>48</v>
      </c>
      <c r="L50">
        <f t="shared" ref="L50" si="5">AVERAGE(F50:G50)</f>
        <v>1.9044999999999999E-2</v>
      </c>
    </row>
    <row r="51" spans="1:12" x14ac:dyDescent="0.25">
      <c r="A51">
        <v>300890</v>
      </c>
      <c r="B51">
        <v>1471.9835</v>
      </c>
      <c r="C51">
        <v>51.250950000000003</v>
      </c>
      <c r="D51">
        <v>52.020980000000002</v>
      </c>
      <c r="E51">
        <v>48</v>
      </c>
      <c r="F51">
        <v>1.3259999999999999E-2</v>
      </c>
      <c r="G51">
        <v>5.11E-3</v>
      </c>
      <c r="H51" t="s">
        <v>56</v>
      </c>
      <c r="I51" t="s">
        <v>56</v>
      </c>
      <c r="J51">
        <f t="shared" ref="J51:J53" si="6">B51</f>
        <v>1471.9835</v>
      </c>
      <c r="K51">
        <f t="shared" ref="K51:K53" si="7">E51</f>
        <v>48</v>
      </c>
      <c r="L51">
        <f t="shared" ref="L51:L53" si="8">AVERAGE(F51:G51)</f>
        <v>9.1849999999999987E-3</v>
      </c>
    </row>
    <row r="52" spans="1:12" x14ac:dyDescent="0.25">
      <c r="A52">
        <v>300895</v>
      </c>
      <c r="B52">
        <v>2752.7975000000001</v>
      </c>
      <c r="C52">
        <v>50.86694</v>
      </c>
      <c r="D52">
        <v>50.059939999999997</v>
      </c>
      <c r="E52">
        <v>48</v>
      </c>
      <c r="F52">
        <v>1.9310000000000001E-2</v>
      </c>
      <c r="G52">
        <v>1.3140000000000001E-2</v>
      </c>
      <c r="H52" t="s">
        <v>57</v>
      </c>
      <c r="I52" t="s">
        <v>57</v>
      </c>
      <c r="J52">
        <f t="shared" si="6"/>
        <v>2752.7975000000001</v>
      </c>
      <c r="K52">
        <f t="shared" si="7"/>
        <v>48</v>
      </c>
      <c r="L52">
        <f t="shared" si="8"/>
        <v>1.6225E-2</v>
      </c>
    </row>
    <row r="53" spans="1:12" x14ac:dyDescent="0.25">
      <c r="A53">
        <v>300894</v>
      </c>
      <c r="B53">
        <v>3605.1579999999999</v>
      </c>
      <c r="C53">
        <v>49.91375</v>
      </c>
      <c r="D53">
        <v>50.560589999999998</v>
      </c>
      <c r="E53">
        <v>48</v>
      </c>
      <c r="F53">
        <v>5.5100000000000001E-3</v>
      </c>
      <c r="G53">
        <v>3.3700000000000002E-3</v>
      </c>
      <c r="H53" t="s">
        <v>58</v>
      </c>
      <c r="I53" t="s">
        <v>58</v>
      </c>
      <c r="J53">
        <f t="shared" si="6"/>
        <v>3605.1579999999999</v>
      </c>
      <c r="K53">
        <f t="shared" si="7"/>
        <v>48</v>
      </c>
      <c r="L53">
        <f t="shared" si="8"/>
        <v>4.4400000000000004E-3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4237-90CC-4CD6-8C57-B9208DF172B3}">
  <sheetPr codeName="Sheet4">
    <tabColor theme="8"/>
  </sheetPr>
  <dimension ref="A1:Q51"/>
  <sheetViews>
    <sheetView topLeftCell="E1" workbookViewId="0">
      <selection activeCell="S23" sqref="S23"/>
    </sheetView>
  </sheetViews>
  <sheetFormatPr defaultRowHeight="15" x14ac:dyDescent="0.25"/>
  <cols>
    <col min="1" max="1" width="6" bestFit="1" customWidth="1"/>
    <col min="2" max="2" width="13.5703125" customWidth="1"/>
    <col min="3" max="3" width="11.42578125" bestFit="1" customWidth="1"/>
    <col min="4" max="4" width="11.28515625" bestFit="1" customWidth="1"/>
    <col min="5" max="5" width="10.7109375" bestFit="1" customWidth="1"/>
    <col min="6" max="6" width="15.7109375" bestFit="1" customWidth="1"/>
    <col min="8" max="8" width="27.28515625" bestFit="1" customWidth="1"/>
    <col min="9" max="9" width="24" customWidth="1"/>
    <col min="10" max="10" width="11" hidden="1" customWidth="1"/>
    <col min="11" max="11" width="16.5703125" bestFit="1" customWidth="1"/>
    <col min="12" max="12" width="25.140625" hidden="1" customWidth="1"/>
    <col min="13" max="13" width="10.7109375" hidden="1" customWidth="1"/>
    <col min="14" max="14" width="12" hidden="1" customWidth="1"/>
    <col min="15" max="15" width="10.140625" style="12" bestFit="1" customWidth="1"/>
    <col min="16" max="16" width="19.140625" hidden="1" customWidth="1"/>
    <col min="17" max="17" width="22.28515625" style="8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3"/>
      <c r="J1" s="3" t="s">
        <v>1</v>
      </c>
      <c r="K1" s="3" t="s">
        <v>69</v>
      </c>
      <c r="L1" t="s">
        <v>63</v>
      </c>
      <c r="M1" t="s">
        <v>75</v>
      </c>
      <c r="N1" t="s">
        <v>99</v>
      </c>
      <c r="O1" s="11" t="s">
        <v>77</v>
      </c>
      <c r="P1" t="s">
        <v>101</v>
      </c>
      <c r="Q1" s="8" t="s">
        <v>100</v>
      </c>
    </row>
    <row r="2" spans="1:17" x14ac:dyDescent="0.25">
      <c r="A2" s="1">
        <v>504</v>
      </c>
      <c r="B2" s="1">
        <v>25583.8959</v>
      </c>
      <c r="C2" s="1">
        <v>97.331379999999996</v>
      </c>
      <c r="D2" s="1">
        <v>100.00064999999999</v>
      </c>
      <c r="E2" s="1">
        <v>120</v>
      </c>
      <c r="F2" s="1">
        <v>0.11699</v>
      </c>
      <c r="G2" s="1">
        <v>5.6550000000000003E-2</v>
      </c>
      <c r="H2" s="1" t="s">
        <v>12</v>
      </c>
      <c r="I2" s="3" t="str">
        <f t="shared" ref="I2:I7" si="0">H2</f>
        <v>A19 NB North</v>
      </c>
      <c r="J2" s="3">
        <f t="shared" ref="J2:J7" si="1">B2</f>
        <v>25583.8959</v>
      </c>
      <c r="K2" s="3">
        <f t="shared" ref="K2:K7" si="2">E2</f>
        <v>120</v>
      </c>
      <c r="L2">
        <f t="shared" ref="L2:L7" si="3">AVERAGE(F2:G2)</f>
        <v>8.677E-2</v>
      </c>
      <c r="M2">
        <v>3</v>
      </c>
      <c r="N2">
        <f>AADT2AAWT(M2,J2)</f>
        <v>23845.043775329996</v>
      </c>
      <c r="O2" s="11">
        <f>HGVWeekday(L2)</f>
        <v>0.10412399999999999</v>
      </c>
      <c r="P2">
        <v>1.014</v>
      </c>
      <c r="Q2" s="9">
        <f>N2/$P$2</f>
        <v>23515.822263639049</v>
      </c>
    </row>
    <row r="3" spans="1:17" x14ac:dyDescent="0.25">
      <c r="A3" s="1">
        <v>48032</v>
      </c>
      <c r="B3" s="1">
        <v>26959.770199999999</v>
      </c>
      <c r="C3" s="1">
        <v>100.27408</v>
      </c>
      <c r="D3" s="1">
        <v>102.22439</v>
      </c>
      <c r="E3" s="1">
        <v>120</v>
      </c>
      <c r="F3" s="1">
        <v>8.3960000000000007E-2</v>
      </c>
      <c r="G3" s="1">
        <v>7.1489999999999998E-2</v>
      </c>
      <c r="H3" s="1" t="s">
        <v>11</v>
      </c>
      <c r="I3" s="3" t="str">
        <f t="shared" si="0"/>
        <v>A19 SB North</v>
      </c>
      <c r="J3" s="3">
        <f t="shared" si="1"/>
        <v>26959.770199999999</v>
      </c>
      <c r="K3" s="3">
        <f t="shared" si="2"/>
        <v>120</v>
      </c>
      <c r="L3">
        <f t="shared" si="3"/>
        <v>7.7725000000000002E-2</v>
      </c>
      <c r="M3">
        <v>3</v>
      </c>
      <c r="N3">
        <f t="shared" ref="N3:N48" si="4">AADT2AAWT(M3,J3)</f>
        <v>25127.40448540666</v>
      </c>
      <c r="O3" s="11">
        <f t="shared" ref="O3:O48" si="5">HGVWeekday(L3)</f>
        <v>9.3270000000000006E-2</v>
      </c>
      <c r="Q3" s="9">
        <f t="shared" ref="Q3:Q48" si="6">N3/$P$2</f>
        <v>24780.477796259034</v>
      </c>
    </row>
    <row r="4" spans="1:17" x14ac:dyDescent="0.25">
      <c r="A4" s="2">
        <v>47938</v>
      </c>
      <c r="B4" s="2">
        <v>27014.796399999999</v>
      </c>
      <c r="C4" s="2">
        <v>100.41064</v>
      </c>
      <c r="D4" s="2">
        <v>102.11908</v>
      </c>
      <c r="E4" s="2">
        <v>120</v>
      </c>
      <c r="F4" s="2">
        <v>8.4220000000000003E-2</v>
      </c>
      <c r="G4" s="2">
        <v>7.1419999999999997E-2</v>
      </c>
      <c r="H4" s="2" t="s">
        <v>7</v>
      </c>
      <c r="I4" s="3" t="str">
        <f t="shared" si="0"/>
        <v>A19 SB M</v>
      </c>
      <c r="J4" s="3">
        <f t="shared" si="1"/>
        <v>27014.796399999999</v>
      </c>
      <c r="K4" s="3">
        <f t="shared" si="2"/>
        <v>120</v>
      </c>
      <c r="L4">
        <f t="shared" si="3"/>
        <v>7.782E-2</v>
      </c>
      <c r="M4">
        <v>3</v>
      </c>
      <c r="N4">
        <f t="shared" si="4"/>
        <v>25178.690738013334</v>
      </c>
      <c r="O4" s="11">
        <f t="shared" si="5"/>
        <v>9.3383999999999995E-2</v>
      </c>
      <c r="Q4" s="9">
        <f t="shared" si="6"/>
        <v>24831.055954648258</v>
      </c>
    </row>
    <row r="5" spans="1:17" x14ac:dyDescent="0.25">
      <c r="A5" s="2">
        <v>48042</v>
      </c>
      <c r="B5" s="2">
        <v>25450.1669</v>
      </c>
      <c r="C5" s="2">
        <v>99.644310000000004</v>
      </c>
      <c r="D5" s="2">
        <v>94.289209999999997</v>
      </c>
      <c r="E5" s="2">
        <v>120</v>
      </c>
      <c r="F5" s="2">
        <v>0.11736000000000001</v>
      </c>
      <c r="G5" s="2">
        <v>5.3350000000000002E-2</v>
      </c>
      <c r="H5" s="2" t="s">
        <v>8</v>
      </c>
      <c r="I5" s="3" t="str">
        <f t="shared" si="0"/>
        <v>A19 NB M</v>
      </c>
      <c r="J5" s="3">
        <f t="shared" si="1"/>
        <v>25450.1669</v>
      </c>
      <c r="K5" s="3">
        <f t="shared" si="2"/>
        <v>120</v>
      </c>
      <c r="L5">
        <f t="shared" si="3"/>
        <v>8.5355E-2</v>
      </c>
      <c r="M5">
        <v>3</v>
      </c>
      <c r="N5">
        <f t="shared" si="4"/>
        <v>23720.403889696667</v>
      </c>
      <c r="O5" s="11">
        <f t="shared" si="5"/>
        <v>0.102426</v>
      </c>
      <c r="Q5" s="9">
        <f t="shared" si="6"/>
        <v>23392.903244276793</v>
      </c>
    </row>
    <row r="6" spans="1:17" x14ac:dyDescent="0.25">
      <c r="A6" s="2">
        <v>47939</v>
      </c>
      <c r="B6" s="2">
        <v>26468.699700000001</v>
      </c>
      <c r="C6" s="2">
        <v>99.692880000000002</v>
      </c>
      <c r="D6" s="2">
        <v>75.877449999999996</v>
      </c>
      <c r="E6" s="2">
        <v>120</v>
      </c>
      <c r="F6" s="2">
        <v>0.11576</v>
      </c>
      <c r="G6" s="2">
        <v>5.0180000000000002E-2</v>
      </c>
      <c r="H6" s="2" t="s">
        <v>10</v>
      </c>
      <c r="I6" s="3" t="str">
        <f t="shared" si="0"/>
        <v>A19 NB South</v>
      </c>
      <c r="J6" s="3">
        <f t="shared" si="1"/>
        <v>26468.699700000001</v>
      </c>
      <c r="K6" s="3">
        <f t="shared" si="2"/>
        <v>120</v>
      </c>
      <c r="L6">
        <f t="shared" si="3"/>
        <v>8.2970000000000002E-2</v>
      </c>
      <c r="M6">
        <v>3</v>
      </c>
      <c r="N6">
        <f t="shared" si="4"/>
        <v>24669.710410390002</v>
      </c>
      <c r="O6" s="11">
        <f t="shared" si="5"/>
        <v>9.9564E-2</v>
      </c>
      <c r="Q6" s="9">
        <f t="shared" si="6"/>
        <v>24329.102968826432</v>
      </c>
    </row>
    <row r="7" spans="1:17" x14ac:dyDescent="0.25">
      <c r="A7" s="2">
        <v>48061</v>
      </c>
      <c r="B7" s="2">
        <v>28015.133300000001</v>
      </c>
      <c r="C7" s="2">
        <v>97.413499999999999</v>
      </c>
      <c r="D7" s="2">
        <v>100.52861</v>
      </c>
      <c r="E7" s="2">
        <v>120</v>
      </c>
      <c r="F7" s="2">
        <v>7.9799999999999996E-2</v>
      </c>
      <c r="G7" s="2">
        <v>7.0499999999999993E-2</v>
      </c>
      <c r="H7" s="2" t="s">
        <v>9</v>
      </c>
      <c r="I7" s="3" t="str">
        <f t="shared" si="0"/>
        <v>A19 SB South</v>
      </c>
      <c r="J7" s="3">
        <f t="shared" si="1"/>
        <v>28015.133300000001</v>
      </c>
      <c r="K7" s="3">
        <f t="shared" si="2"/>
        <v>120</v>
      </c>
      <c r="L7">
        <f t="shared" si="3"/>
        <v>7.5149999999999995E-2</v>
      </c>
      <c r="M7">
        <v>3</v>
      </c>
      <c r="N7">
        <f t="shared" si="4"/>
        <v>26111.038073376665</v>
      </c>
      <c r="O7" s="11">
        <f t="shared" si="5"/>
        <v>9.0179999999999996E-2</v>
      </c>
      <c r="Q7" s="9">
        <f t="shared" si="6"/>
        <v>25750.530644355684</v>
      </c>
    </row>
    <row r="8" spans="1:17" x14ac:dyDescent="0.25">
      <c r="A8">
        <v>48055</v>
      </c>
      <c r="B8">
        <v>301.4384</v>
      </c>
      <c r="C8">
        <v>50.063830000000003</v>
      </c>
      <c r="D8">
        <v>49.647730000000003</v>
      </c>
      <c r="E8">
        <v>50</v>
      </c>
      <c r="F8">
        <v>0.18067</v>
      </c>
      <c r="G8">
        <v>0.31183</v>
      </c>
      <c r="H8" t="s">
        <v>14</v>
      </c>
      <c r="I8" s="3" t="s">
        <v>64</v>
      </c>
      <c r="J8" s="3">
        <f>B8+B9</f>
        <v>520.88549999999998</v>
      </c>
      <c r="K8" s="3">
        <f>MAX(E8:E9)</f>
        <v>50</v>
      </c>
      <c r="L8">
        <f>AVERAGE(F8:G9)</f>
        <v>0.1933175</v>
      </c>
      <c r="M8">
        <v>1</v>
      </c>
      <c r="N8">
        <f t="shared" si="4"/>
        <v>483.42515112499996</v>
      </c>
      <c r="O8" s="11">
        <f t="shared" si="5"/>
        <v>0.23198099999999999</v>
      </c>
      <c r="Q8" s="9">
        <f t="shared" si="6"/>
        <v>476.75064213510842</v>
      </c>
    </row>
    <row r="9" spans="1:17" x14ac:dyDescent="0.25">
      <c r="A9">
        <v>49272</v>
      </c>
      <c r="B9">
        <v>219.44710000000001</v>
      </c>
      <c r="C9">
        <v>52.185560000000002</v>
      </c>
      <c r="D9">
        <v>51.889499999999998</v>
      </c>
      <c r="E9">
        <v>50</v>
      </c>
      <c r="F9">
        <v>0.22642000000000001</v>
      </c>
      <c r="G9">
        <v>5.4350000000000002E-2</v>
      </c>
      <c r="H9" t="s">
        <v>13</v>
      </c>
      <c r="I9" s="3"/>
      <c r="J9" s="3"/>
      <c r="K9" s="3"/>
      <c r="O9" s="11"/>
      <c r="Q9" s="9"/>
    </row>
    <row r="10" spans="1:17" x14ac:dyDescent="0.25">
      <c r="A10">
        <v>49278</v>
      </c>
      <c r="B10">
        <v>324.67649999999998</v>
      </c>
      <c r="C10">
        <v>30.073830000000001</v>
      </c>
      <c r="D10">
        <v>31.645520000000001</v>
      </c>
      <c r="E10">
        <v>32</v>
      </c>
      <c r="F10">
        <v>0.14771000000000001</v>
      </c>
      <c r="G10">
        <v>0.18609999999999999</v>
      </c>
      <c r="H10" t="s">
        <v>16</v>
      </c>
      <c r="I10" s="3" t="s">
        <v>66</v>
      </c>
      <c r="J10" s="3">
        <f>B10+B11</f>
        <v>727.39819999999997</v>
      </c>
      <c r="K10" s="3">
        <f>MAX(E10:E11)</f>
        <v>32</v>
      </c>
      <c r="L10">
        <f>AVERAGE(F10:G11)</f>
        <v>0.108525</v>
      </c>
      <c r="M10">
        <v>1</v>
      </c>
      <c r="N10">
        <f t="shared" si="4"/>
        <v>675.08614611666655</v>
      </c>
      <c r="O10" s="11">
        <f t="shared" si="5"/>
        <v>0.13022999999999998</v>
      </c>
      <c r="Q10" s="9">
        <f t="shared" si="6"/>
        <v>665.76543009533191</v>
      </c>
    </row>
    <row r="11" spans="1:17" x14ac:dyDescent="0.25">
      <c r="A11">
        <v>49294</v>
      </c>
      <c r="B11">
        <v>402.7217</v>
      </c>
      <c r="C11">
        <v>30.06204</v>
      </c>
      <c r="D11">
        <v>31.975159999999999</v>
      </c>
      <c r="E11">
        <v>32</v>
      </c>
      <c r="F11">
        <v>6.9769999999999999E-2</v>
      </c>
      <c r="G11">
        <v>3.0519999999999999E-2</v>
      </c>
      <c r="H11" t="s">
        <v>15</v>
      </c>
      <c r="I11" s="3"/>
      <c r="J11" s="3"/>
      <c r="K11" s="3"/>
      <c r="O11" s="11"/>
      <c r="Q11" s="9"/>
    </row>
    <row r="12" spans="1:17" x14ac:dyDescent="0.25">
      <c r="A12">
        <v>49291</v>
      </c>
      <c r="B12">
        <v>407.54469999999998</v>
      </c>
      <c r="C12">
        <v>33.627049999999997</v>
      </c>
      <c r="D12">
        <v>33.630949999999999</v>
      </c>
      <c r="E12">
        <v>32</v>
      </c>
      <c r="F12">
        <v>6.2210000000000001E-2</v>
      </c>
      <c r="G12">
        <v>8.3879999999999996E-2</v>
      </c>
      <c r="H12" t="s">
        <v>18</v>
      </c>
      <c r="I12" s="3" t="s">
        <v>67</v>
      </c>
      <c r="J12" s="3">
        <f>B12+B13</f>
        <v>1053.1709000000001</v>
      </c>
      <c r="K12" s="3">
        <f>MAX(E12:E13)</f>
        <v>32</v>
      </c>
      <c r="L12">
        <f>AVERAGE(F12:G13)</f>
        <v>5.3970000000000004E-2</v>
      </c>
      <c r="M12">
        <v>1</v>
      </c>
      <c r="N12">
        <f t="shared" si="4"/>
        <v>977.43035944166684</v>
      </c>
      <c r="O12" s="11">
        <f t="shared" si="5"/>
        <v>6.4764000000000002E-2</v>
      </c>
      <c r="Q12" s="9">
        <f t="shared" si="6"/>
        <v>963.93526572156486</v>
      </c>
    </row>
    <row r="13" spans="1:17" x14ac:dyDescent="0.25">
      <c r="A13">
        <v>49304</v>
      </c>
      <c r="B13">
        <v>645.62620000000004</v>
      </c>
      <c r="C13">
        <v>34.018569999999997</v>
      </c>
      <c r="D13">
        <v>34.081249999999997</v>
      </c>
      <c r="E13">
        <v>32</v>
      </c>
      <c r="F13">
        <v>4.2590000000000003E-2</v>
      </c>
      <c r="G13">
        <v>2.7199999999999998E-2</v>
      </c>
      <c r="H13" t="s">
        <v>17</v>
      </c>
      <c r="I13" s="3"/>
      <c r="J13" s="3"/>
      <c r="K13" s="3"/>
      <c r="O13" s="11"/>
      <c r="Q13" s="9"/>
    </row>
    <row r="14" spans="1:17" x14ac:dyDescent="0.25">
      <c r="A14">
        <v>5658</v>
      </c>
      <c r="B14">
        <v>879.54229999999995</v>
      </c>
      <c r="C14">
        <v>28.220320000000001</v>
      </c>
      <c r="D14">
        <v>27.72025</v>
      </c>
      <c r="E14">
        <v>32</v>
      </c>
      <c r="F14">
        <v>4.3360000000000003E-2</v>
      </c>
      <c r="G14">
        <v>2.579E-2</v>
      </c>
      <c r="H14" t="s">
        <v>19</v>
      </c>
      <c r="I14" s="3" t="s">
        <v>65</v>
      </c>
      <c r="J14" s="3">
        <f>B14+B15</f>
        <v>1417.0890999999999</v>
      </c>
      <c r="K14" s="3">
        <f>MAX(E14:E15)</f>
        <v>32</v>
      </c>
      <c r="L14">
        <f>AVERAGE(F14:G15)</f>
        <v>3.9675000000000002E-2</v>
      </c>
      <c r="M14">
        <v>1</v>
      </c>
      <c r="N14">
        <f t="shared" si="4"/>
        <v>1315.1767755583332</v>
      </c>
      <c r="O14" s="11">
        <f t="shared" si="5"/>
        <v>4.761E-2</v>
      </c>
      <c r="Q14" s="9">
        <f t="shared" si="6"/>
        <v>1297.0185163297172</v>
      </c>
    </row>
    <row r="15" spans="1:17" x14ac:dyDescent="0.25">
      <c r="A15">
        <v>49307</v>
      </c>
      <c r="B15">
        <v>537.54679999999996</v>
      </c>
      <c r="C15">
        <v>33.569540000000003</v>
      </c>
      <c r="D15">
        <v>33.72307</v>
      </c>
      <c r="E15">
        <v>32</v>
      </c>
      <c r="F15">
        <v>5.7290000000000001E-2</v>
      </c>
      <c r="G15">
        <v>3.2259999999999997E-2</v>
      </c>
      <c r="H15" t="s">
        <v>20</v>
      </c>
      <c r="I15" s="3"/>
      <c r="J15" s="3"/>
      <c r="K15" s="3"/>
      <c r="O15" s="11"/>
      <c r="Q15" s="9"/>
    </row>
    <row r="16" spans="1:17" x14ac:dyDescent="0.25">
      <c r="A16">
        <v>4843</v>
      </c>
      <c r="B16">
        <v>1246.5298</v>
      </c>
      <c r="C16">
        <v>51.845460000000003</v>
      </c>
      <c r="D16">
        <v>52.049990000000001</v>
      </c>
      <c r="E16">
        <v>50</v>
      </c>
      <c r="F16">
        <v>4.9579999999999999E-2</v>
      </c>
      <c r="G16">
        <v>1.0540000000000001E-2</v>
      </c>
      <c r="H16" t="s">
        <v>22</v>
      </c>
      <c r="I16" s="3" t="s">
        <v>88</v>
      </c>
      <c r="J16" s="3">
        <f>B16+B17</f>
        <v>2659.0151999999998</v>
      </c>
      <c r="K16" s="3">
        <f>MAX(E16:E17)</f>
        <v>50</v>
      </c>
      <c r="L16">
        <f>AVERAGE(F16:G17)</f>
        <v>3.3345E-2</v>
      </c>
      <c r="M16">
        <v>1</v>
      </c>
      <c r="N16">
        <f t="shared" si="4"/>
        <v>2467.7876901999998</v>
      </c>
      <c r="O16" s="11">
        <f t="shared" si="5"/>
        <v>4.0014000000000001E-2</v>
      </c>
      <c r="Q16" s="9">
        <f t="shared" si="6"/>
        <v>2433.7156708086782</v>
      </c>
    </row>
    <row r="17" spans="1:17" x14ac:dyDescent="0.25">
      <c r="A17">
        <v>47962</v>
      </c>
      <c r="B17">
        <v>1412.4854</v>
      </c>
      <c r="C17">
        <v>50.081220000000002</v>
      </c>
      <c r="D17">
        <v>50.176380000000002</v>
      </c>
      <c r="E17">
        <v>50</v>
      </c>
      <c r="F17">
        <v>1.5910000000000001E-2</v>
      </c>
      <c r="G17">
        <v>5.7349999999999998E-2</v>
      </c>
      <c r="H17" t="s">
        <v>21</v>
      </c>
      <c r="I17" s="3"/>
      <c r="J17" s="3"/>
      <c r="K17" s="3"/>
      <c r="O17" s="11"/>
      <c r="Q17" s="9"/>
    </row>
    <row r="18" spans="1:17" x14ac:dyDescent="0.25">
      <c r="A18">
        <v>3097</v>
      </c>
      <c r="B18">
        <v>1917.8056999999999</v>
      </c>
      <c r="C18">
        <v>48.5291</v>
      </c>
      <c r="D18">
        <v>44.874879999999997</v>
      </c>
      <c r="E18">
        <v>50</v>
      </c>
      <c r="F18">
        <v>2.299E-2</v>
      </c>
      <c r="G18">
        <v>4.48E-2</v>
      </c>
      <c r="H18" t="s">
        <v>23</v>
      </c>
      <c r="I18" s="3" t="s">
        <v>89</v>
      </c>
      <c r="J18" s="3">
        <f>B18+B19</f>
        <v>3977.0133999999998</v>
      </c>
      <c r="K18" s="3">
        <f>MAX(E18:E19)</f>
        <v>50</v>
      </c>
      <c r="L18">
        <f>AVERAGE(F18:G19)</f>
        <v>3.2452500000000002E-2</v>
      </c>
      <c r="M18">
        <v>1</v>
      </c>
      <c r="N18">
        <f t="shared" si="4"/>
        <v>3690.9998529833329</v>
      </c>
      <c r="O18" s="11">
        <f t="shared" si="5"/>
        <v>3.8942999999999998E-2</v>
      </c>
      <c r="Q18" s="9">
        <f t="shared" si="6"/>
        <v>3640.039302744904</v>
      </c>
    </row>
    <row r="19" spans="1:17" x14ac:dyDescent="0.25">
      <c r="A19">
        <v>48211</v>
      </c>
      <c r="B19">
        <v>2059.2076999999999</v>
      </c>
      <c r="C19">
        <v>43.885910000000003</v>
      </c>
      <c r="D19">
        <v>45.174860000000002</v>
      </c>
      <c r="E19">
        <v>50</v>
      </c>
      <c r="F19">
        <v>4.6260000000000003E-2</v>
      </c>
      <c r="G19">
        <v>1.576E-2</v>
      </c>
      <c r="H19" t="s">
        <v>24</v>
      </c>
      <c r="I19" s="3"/>
      <c r="J19" s="3"/>
      <c r="K19" s="3"/>
      <c r="O19" s="11"/>
      <c r="Q19" s="9"/>
    </row>
    <row r="20" spans="1:17" x14ac:dyDescent="0.25">
      <c r="A20">
        <v>43145</v>
      </c>
      <c r="B20">
        <v>2165.5331999999999</v>
      </c>
      <c r="C20">
        <v>50.443910000000002</v>
      </c>
      <c r="D20">
        <v>50.293930000000003</v>
      </c>
      <c r="E20">
        <v>50</v>
      </c>
      <c r="F20">
        <v>2.383E-2</v>
      </c>
      <c r="G20">
        <v>1.6219999999999998E-2</v>
      </c>
      <c r="H20" t="s">
        <v>26</v>
      </c>
      <c r="I20" s="3" t="s">
        <v>90</v>
      </c>
      <c r="J20" s="3">
        <f>B20+B21</f>
        <v>4820.1638000000003</v>
      </c>
      <c r="K20" s="3">
        <f>MAX(E20:E21)</f>
        <v>50</v>
      </c>
      <c r="L20">
        <f>AVERAGE(F20:G21)</f>
        <v>2.6127500000000001E-2</v>
      </c>
      <c r="M20">
        <v>1</v>
      </c>
      <c r="N20">
        <f t="shared" si="4"/>
        <v>4473.5136867166666</v>
      </c>
      <c r="O20" s="11">
        <f t="shared" si="5"/>
        <v>3.1352999999999999E-2</v>
      </c>
      <c r="Q20" s="9">
        <f t="shared" si="6"/>
        <v>4411.7491979454308</v>
      </c>
    </row>
    <row r="21" spans="1:17" x14ac:dyDescent="0.25">
      <c r="A21">
        <v>49907</v>
      </c>
      <c r="B21">
        <v>2654.6306</v>
      </c>
      <c r="C21">
        <v>49.24024</v>
      </c>
      <c r="D21">
        <v>50.213189999999997</v>
      </c>
      <c r="E21">
        <v>50</v>
      </c>
      <c r="F21">
        <v>4.4409999999999998E-2</v>
      </c>
      <c r="G21">
        <v>2.0049999999999998E-2</v>
      </c>
      <c r="H21" t="s">
        <v>25</v>
      </c>
      <c r="I21" s="3"/>
      <c r="J21" s="3"/>
      <c r="K21" s="3"/>
      <c r="O21" s="11"/>
      <c r="Q21" s="9"/>
    </row>
    <row r="22" spans="1:17" x14ac:dyDescent="0.25">
      <c r="A22">
        <v>5661</v>
      </c>
      <c r="B22">
        <v>2662.0844000000002</v>
      </c>
      <c r="C22">
        <v>53.462510000000002</v>
      </c>
      <c r="D22">
        <v>53.125450000000001</v>
      </c>
      <c r="E22">
        <v>50</v>
      </c>
      <c r="F22">
        <v>4.4170000000000001E-2</v>
      </c>
      <c r="G22">
        <v>1.951E-2</v>
      </c>
      <c r="H22" t="s">
        <v>28</v>
      </c>
      <c r="I22" s="3" t="s">
        <v>91</v>
      </c>
      <c r="J22" s="3">
        <f>B22+B23</f>
        <v>4845.3751000000002</v>
      </c>
      <c r="K22" s="3">
        <f>MAX(E22:E23)</f>
        <v>50</v>
      </c>
      <c r="L22">
        <f>AVERAGE(F22:G23)</f>
        <v>2.5807500000000001E-2</v>
      </c>
      <c r="M22">
        <v>1</v>
      </c>
      <c r="N22">
        <f t="shared" si="4"/>
        <v>4496.9118740583344</v>
      </c>
      <c r="O22" s="11">
        <f t="shared" si="5"/>
        <v>3.0969E-2</v>
      </c>
      <c r="Q22" s="9">
        <f t="shared" si="6"/>
        <v>4434.8243333908622</v>
      </c>
    </row>
    <row r="23" spans="1:17" x14ac:dyDescent="0.25">
      <c r="A23">
        <v>49904</v>
      </c>
      <c r="B23">
        <v>2183.2907</v>
      </c>
      <c r="C23">
        <v>52.115920000000003</v>
      </c>
      <c r="D23">
        <v>52.673659999999998</v>
      </c>
      <c r="E23">
        <v>50</v>
      </c>
      <c r="F23">
        <v>2.3560000000000001E-2</v>
      </c>
      <c r="G23">
        <v>1.5990000000000001E-2</v>
      </c>
      <c r="H23" t="s">
        <v>27</v>
      </c>
      <c r="I23" s="3"/>
      <c r="J23" s="3"/>
      <c r="K23" s="3"/>
      <c r="O23" s="11"/>
      <c r="Q23" s="9"/>
    </row>
    <row r="24" spans="1:17" x14ac:dyDescent="0.25">
      <c r="A24">
        <v>5660</v>
      </c>
      <c r="B24">
        <v>2177.5907000000002</v>
      </c>
      <c r="C24">
        <v>66.797330000000002</v>
      </c>
      <c r="D24">
        <v>67.380200000000002</v>
      </c>
      <c r="E24">
        <v>64</v>
      </c>
      <c r="F24">
        <v>2.367E-2</v>
      </c>
      <c r="G24">
        <v>1.6E-2</v>
      </c>
      <c r="H24" t="s">
        <v>29</v>
      </c>
      <c r="I24" s="3" t="s">
        <v>92</v>
      </c>
      <c r="J24" s="3">
        <f>B24+B25</f>
        <v>4833.5367000000006</v>
      </c>
      <c r="K24" s="3">
        <f>MAX(E24:E25)</f>
        <v>64</v>
      </c>
      <c r="L24">
        <f>AVERAGE(F24:G25)</f>
        <v>2.57475E-2</v>
      </c>
      <c r="M24">
        <v>1</v>
      </c>
      <c r="N24">
        <f t="shared" si="4"/>
        <v>4485.9248523249998</v>
      </c>
      <c r="O24" s="11">
        <f t="shared" si="5"/>
        <v>3.0896999999999997E-2</v>
      </c>
      <c r="Q24" s="9">
        <f t="shared" si="6"/>
        <v>4423.9890062376726</v>
      </c>
    </row>
    <row r="25" spans="1:17" x14ac:dyDescent="0.25">
      <c r="A25">
        <v>43142</v>
      </c>
      <c r="B25">
        <v>2655.9459999999999</v>
      </c>
      <c r="C25">
        <v>65.914209999999997</v>
      </c>
      <c r="D25">
        <v>65.421639999999996</v>
      </c>
      <c r="E25">
        <v>64</v>
      </c>
      <c r="F25">
        <v>4.3920000000000001E-2</v>
      </c>
      <c r="G25">
        <v>1.9400000000000001E-2</v>
      </c>
      <c r="H25" t="s">
        <v>30</v>
      </c>
      <c r="I25" s="3"/>
      <c r="J25" s="3"/>
      <c r="K25" s="3"/>
      <c r="O25" s="11"/>
      <c r="Q25" s="9"/>
    </row>
    <row r="26" spans="1:17" x14ac:dyDescent="0.25">
      <c r="A26">
        <v>3374</v>
      </c>
      <c r="B26">
        <v>293.9846</v>
      </c>
      <c r="C26">
        <v>40.529310000000002</v>
      </c>
      <c r="D26">
        <v>40.859569999999998</v>
      </c>
      <c r="E26">
        <v>48</v>
      </c>
      <c r="F26">
        <v>0.15226000000000001</v>
      </c>
      <c r="G26">
        <v>0.10954</v>
      </c>
      <c r="H26" t="s">
        <v>53</v>
      </c>
      <c r="I26" s="3" t="s">
        <v>53</v>
      </c>
      <c r="J26" s="3">
        <f>B26+B27</f>
        <v>736.82500000000005</v>
      </c>
      <c r="K26" s="3">
        <f>MAX(E26:E27)</f>
        <v>48</v>
      </c>
      <c r="L26">
        <f>AVERAGE(F26:G27)</f>
        <v>0.12937000000000001</v>
      </c>
      <c r="M26">
        <v>1</v>
      </c>
      <c r="N26">
        <f t="shared" si="4"/>
        <v>683.83500208333328</v>
      </c>
      <c r="O26" s="11">
        <f t="shared" si="5"/>
        <v>0.15524400000000002</v>
      </c>
      <c r="Q26" s="9">
        <f t="shared" si="6"/>
        <v>674.39349317882966</v>
      </c>
    </row>
    <row r="27" spans="1:17" x14ac:dyDescent="0.25">
      <c r="A27">
        <v>3375</v>
      </c>
      <c r="B27">
        <v>442.84039999999999</v>
      </c>
      <c r="C27">
        <v>47.434019999999997</v>
      </c>
      <c r="D27">
        <v>47.460709999999999</v>
      </c>
      <c r="E27">
        <v>48</v>
      </c>
      <c r="F27">
        <v>0.12592999999999999</v>
      </c>
      <c r="G27">
        <v>0.12975</v>
      </c>
      <c r="H27" t="s">
        <v>54</v>
      </c>
      <c r="I27" s="3"/>
      <c r="J27" s="3"/>
      <c r="K27" s="3"/>
      <c r="O27" s="11"/>
      <c r="Q27" s="9"/>
    </row>
    <row r="28" spans="1:17" x14ac:dyDescent="0.25">
      <c r="A28">
        <v>4844</v>
      </c>
      <c r="B28">
        <v>12364.6728</v>
      </c>
      <c r="C28">
        <v>78.713350000000005</v>
      </c>
      <c r="D28">
        <v>78.408550000000005</v>
      </c>
      <c r="E28">
        <v>80</v>
      </c>
      <c r="F28">
        <v>6.2019999999999999E-2</v>
      </c>
      <c r="G28">
        <v>1.8409999999999999E-2</v>
      </c>
      <c r="H28" t="s">
        <v>52</v>
      </c>
      <c r="I28" s="3" t="s">
        <v>70</v>
      </c>
      <c r="J28" s="3">
        <f>B28+B29</f>
        <v>24749.076099999998</v>
      </c>
      <c r="K28" s="3">
        <f>MAX(E28:E29)</f>
        <v>80</v>
      </c>
      <c r="L28">
        <f>AVERAGE(F28:G29)</f>
        <v>3.6082499999999997E-2</v>
      </c>
      <c r="M28">
        <v>3</v>
      </c>
      <c r="N28">
        <f t="shared" si="4"/>
        <v>23066.963894403332</v>
      </c>
      <c r="O28" s="11">
        <f t="shared" si="5"/>
        <v>4.3298999999999997E-2</v>
      </c>
      <c r="Q28" s="9">
        <f t="shared" si="6"/>
        <v>22748.485102961866</v>
      </c>
    </row>
    <row r="29" spans="1:17" x14ac:dyDescent="0.25">
      <c r="A29">
        <v>4845</v>
      </c>
      <c r="B29">
        <v>12384.4033</v>
      </c>
      <c r="C29">
        <v>79.921989999999994</v>
      </c>
      <c r="D29">
        <v>81.064369999999997</v>
      </c>
      <c r="E29">
        <v>80</v>
      </c>
      <c r="F29">
        <v>3.5770000000000003E-2</v>
      </c>
      <c r="G29">
        <v>2.8129999999999999E-2</v>
      </c>
      <c r="H29" t="s">
        <v>51</v>
      </c>
      <c r="I29" s="3"/>
      <c r="J29" s="3"/>
      <c r="K29" s="3"/>
      <c r="O29" s="11"/>
      <c r="Q29" s="9"/>
    </row>
    <row r="30" spans="1:17" x14ac:dyDescent="0.25">
      <c r="A30">
        <v>5657</v>
      </c>
      <c r="B30">
        <v>399.87169999999998</v>
      </c>
      <c r="C30">
        <v>79.659909999999996</v>
      </c>
      <c r="D30">
        <v>80.979349999999997</v>
      </c>
      <c r="E30">
        <v>80</v>
      </c>
      <c r="F30">
        <v>0.14188999999999999</v>
      </c>
      <c r="G30">
        <v>7.4679999999999996E-2</v>
      </c>
      <c r="H30" t="s">
        <v>36</v>
      </c>
      <c r="I30" s="3" t="s">
        <v>36</v>
      </c>
      <c r="J30" s="3">
        <f>B30+B31</f>
        <v>545.43899999999996</v>
      </c>
      <c r="K30" s="3">
        <f>MAX(E30:E31)</f>
        <v>80</v>
      </c>
      <c r="L30">
        <f>AVERAGE(F30:G31)</f>
        <v>0.11468250000000001</v>
      </c>
      <c r="M30">
        <v>1</v>
      </c>
      <c r="N30">
        <f t="shared" si="4"/>
        <v>506.21284524999999</v>
      </c>
      <c r="O30" s="11">
        <f t="shared" si="5"/>
        <v>0.13761899999999999</v>
      </c>
      <c r="Q30" s="9">
        <f t="shared" si="6"/>
        <v>499.22371326429976</v>
      </c>
    </row>
    <row r="31" spans="1:17" x14ac:dyDescent="0.25">
      <c r="A31">
        <v>47986</v>
      </c>
      <c r="B31">
        <v>145.56729999999999</v>
      </c>
      <c r="C31">
        <v>84.616860000000003</v>
      </c>
      <c r="D31">
        <v>84.587339999999998</v>
      </c>
      <c r="E31">
        <v>80</v>
      </c>
      <c r="F31">
        <v>0.14523</v>
      </c>
      <c r="G31">
        <v>9.6930000000000002E-2</v>
      </c>
      <c r="H31" t="s">
        <v>35</v>
      </c>
      <c r="I31" s="3"/>
      <c r="J31" s="3"/>
      <c r="K31" s="3"/>
      <c r="O31" s="11"/>
      <c r="Q31" s="9"/>
    </row>
    <row r="32" spans="1:17" x14ac:dyDescent="0.25">
      <c r="A32" s="1">
        <v>455</v>
      </c>
      <c r="B32" s="1">
        <v>476.60149999999999</v>
      </c>
      <c r="C32" s="1">
        <v>30.929580000000001</v>
      </c>
      <c r="D32" s="1">
        <v>30.675039999999999</v>
      </c>
      <c r="E32" s="1">
        <v>32</v>
      </c>
      <c r="F32" s="1">
        <v>7.1590000000000001E-2</v>
      </c>
      <c r="G32" s="1">
        <v>9.4E-2</v>
      </c>
      <c r="H32" s="1" t="s">
        <v>44</v>
      </c>
      <c r="I32" s="3" t="s">
        <v>59</v>
      </c>
      <c r="J32" s="3">
        <f>B32+B33</f>
        <v>781.54750000000001</v>
      </c>
      <c r="K32" s="3">
        <f>MAX(E32:E33)</f>
        <v>32</v>
      </c>
      <c r="L32">
        <f>AVERAGE(F32:G33)</f>
        <v>7.443000000000001E-2</v>
      </c>
      <c r="M32">
        <v>1</v>
      </c>
      <c r="N32">
        <f t="shared" si="4"/>
        <v>725.34120895833325</v>
      </c>
      <c r="O32" s="11">
        <f t="shared" si="5"/>
        <v>8.9316000000000006E-2</v>
      </c>
      <c r="Q32" s="9">
        <f t="shared" si="6"/>
        <v>715.32663605358312</v>
      </c>
    </row>
    <row r="33" spans="1:17" x14ac:dyDescent="0.25">
      <c r="A33" s="1">
        <v>478</v>
      </c>
      <c r="B33" s="1">
        <v>304.94600000000003</v>
      </c>
      <c r="C33" s="1">
        <v>34.232410000000002</v>
      </c>
      <c r="D33" s="1">
        <v>34.644939999999998</v>
      </c>
      <c r="E33" s="1">
        <v>32</v>
      </c>
      <c r="F33" s="1">
        <v>0.10736</v>
      </c>
      <c r="G33" s="1">
        <v>2.477E-2</v>
      </c>
      <c r="H33" s="1" t="s">
        <v>43</v>
      </c>
      <c r="I33" s="3"/>
      <c r="J33" s="3"/>
      <c r="K33" s="3"/>
      <c r="O33" s="11"/>
      <c r="Q33" s="9"/>
    </row>
    <row r="34" spans="1:17" x14ac:dyDescent="0.25">
      <c r="A34">
        <v>49317</v>
      </c>
      <c r="B34">
        <v>343.96859999999998</v>
      </c>
      <c r="C34">
        <v>20.52449</v>
      </c>
      <c r="D34">
        <v>20.633019999999998</v>
      </c>
      <c r="E34">
        <v>32</v>
      </c>
      <c r="F34">
        <v>9.4189999999999996E-2</v>
      </c>
      <c r="G34">
        <v>8.4760000000000002E-2</v>
      </c>
      <c r="H34" t="s">
        <v>45</v>
      </c>
      <c r="I34" s="3" t="s">
        <v>71</v>
      </c>
      <c r="J34" s="3">
        <f>B34+B35</f>
        <v>512.99329999999998</v>
      </c>
      <c r="K34" s="3">
        <f>MAX(E34:E35)</f>
        <v>32</v>
      </c>
      <c r="L34">
        <f>AVERAGE(F34:G35)</f>
        <v>8.7217500000000003E-2</v>
      </c>
      <c r="M34">
        <v>1</v>
      </c>
      <c r="N34">
        <f t="shared" si="4"/>
        <v>476.10053184166657</v>
      </c>
      <c r="O34" s="11">
        <f t="shared" si="5"/>
        <v>0.104661</v>
      </c>
      <c r="Q34" s="9">
        <f t="shared" si="6"/>
        <v>469.52715171761986</v>
      </c>
    </row>
    <row r="35" spans="1:17" x14ac:dyDescent="0.25">
      <c r="A35">
        <v>49896</v>
      </c>
      <c r="B35">
        <v>169.0247</v>
      </c>
      <c r="C35">
        <v>16.698530000000002</v>
      </c>
      <c r="D35">
        <v>16.899989999999999</v>
      </c>
      <c r="E35">
        <v>32</v>
      </c>
      <c r="F35">
        <v>0.10695</v>
      </c>
      <c r="G35">
        <v>6.2969999999999998E-2</v>
      </c>
      <c r="H35" t="s">
        <v>46</v>
      </c>
      <c r="I35" s="3"/>
      <c r="J35" s="3"/>
      <c r="K35" s="3"/>
      <c r="O35" s="11"/>
      <c r="Q35" s="9"/>
    </row>
    <row r="36" spans="1:17" x14ac:dyDescent="0.25">
      <c r="A36">
        <v>49318</v>
      </c>
      <c r="B36">
        <v>185.46680000000001</v>
      </c>
      <c r="C36">
        <v>26.373660000000001</v>
      </c>
      <c r="D36">
        <v>26.835080000000001</v>
      </c>
      <c r="E36">
        <v>32</v>
      </c>
      <c r="F36">
        <v>0.10526000000000001</v>
      </c>
      <c r="G36">
        <v>5.5930000000000001E-2</v>
      </c>
      <c r="H36" t="s">
        <v>47</v>
      </c>
      <c r="I36" s="3" t="s">
        <v>68</v>
      </c>
      <c r="J36" s="3">
        <f>B36+B37</f>
        <v>499.62040000000002</v>
      </c>
      <c r="K36" s="3">
        <f>MAX(E36:E37)</f>
        <v>32</v>
      </c>
      <c r="L36">
        <f>AVERAGE(F36:G37)</f>
        <v>9.0702499999999991E-2</v>
      </c>
      <c r="M36">
        <v>1</v>
      </c>
      <c r="N36">
        <f t="shared" si="4"/>
        <v>463.68936623333337</v>
      </c>
      <c r="O36" s="11">
        <f t="shared" si="5"/>
        <v>0.10884299999999998</v>
      </c>
      <c r="Q36" s="9">
        <f t="shared" si="6"/>
        <v>457.28734342537808</v>
      </c>
    </row>
    <row r="37" spans="1:17" x14ac:dyDescent="0.25">
      <c r="A37">
        <v>49893</v>
      </c>
      <c r="B37">
        <v>314.15359999999998</v>
      </c>
      <c r="C37">
        <v>13.46468</v>
      </c>
      <c r="D37">
        <v>13.60347</v>
      </c>
      <c r="E37">
        <v>32</v>
      </c>
      <c r="F37">
        <v>0.10256</v>
      </c>
      <c r="G37">
        <v>9.9059999999999995E-2</v>
      </c>
      <c r="H37" t="s">
        <v>48</v>
      </c>
      <c r="I37" s="3"/>
      <c r="J37" s="3"/>
      <c r="K37" s="3"/>
      <c r="O37" s="11"/>
      <c r="Q37" s="9"/>
    </row>
    <row r="38" spans="1:17" x14ac:dyDescent="0.25">
      <c r="A38">
        <v>48177</v>
      </c>
      <c r="B38">
        <v>65.9876</v>
      </c>
      <c r="C38">
        <v>53.106059999999999</v>
      </c>
      <c r="D38">
        <v>53.288469999999997</v>
      </c>
      <c r="E38">
        <v>50</v>
      </c>
      <c r="F38">
        <v>0</v>
      </c>
      <c r="G38">
        <v>1.8749999999999999E-2</v>
      </c>
      <c r="H38" t="s">
        <v>50</v>
      </c>
      <c r="I38" s="3" t="s">
        <v>72</v>
      </c>
      <c r="J38" s="3">
        <f>B38+B39</f>
        <v>125.17910000000001</v>
      </c>
      <c r="K38" s="3">
        <f>MAX(E38:E39)</f>
        <v>50</v>
      </c>
      <c r="L38">
        <f>AVERAGE(F38:G39)</f>
        <v>2.1729999999999999E-2</v>
      </c>
      <c r="M38">
        <v>1</v>
      </c>
      <c r="N38">
        <f t="shared" si="4"/>
        <v>116.17663639166668</v>
      </c>
      <c r="O38" s="11">
        <f t="shared" si="5"/>
        <v>2.6075999999999998E-2</v>
      </c>
      <c r="Q38" s="9">
        <f t="shared" si="6"/>
        <v>114.5726197156476</v>
      </c>
    </row>
    <row r="39" spans="1:17" x14ac:dyDescent="0.25">
      <c r="A39">
        <v>48178</v>
      </c>
      <c r="B39">
        <v>59.191499999999998</v>
      </c>
      <c r="C39">
        <v>53.147370000000002</v>
      </c>
      <c r="D39">
        <v>53.550310000000003</v>
      </c>
      <c r="E39">
        <v>50</v>
      </c>
      <c r="F39">
        <v>4.1320000000000003E-2</v>
      </c>
      <c r="G39">
        <v>2.6849999999999999E-2</v>
      </c>
      <c r="H39" t="s">
        <v>49</v>
      </c>
      <c r="I39" s="3"/>
      <c r="J39" s="3"/>
      <c r="K39" s="3"/>
      <c r="O39" s="11"/>
      <c r="Q39" s="9"/>
    </row>
    <row r="40" spans="1:17" x14ac:dyDescent="0.25">
      <c r="A40">
        <v>49265</v>
      </c>
      <c r="B40">
        <v>388.03339999999997</v>
      </c>
      <c r="C40">
        <v>27.98695</v>
      </c>
      <c r="D40">
        <v>27.924289999999999</v>
      </c>
      <c r="E40">
        <v>32</v>
      </c>
      <c r="F40">
        <v>0.10439</v>
      </c>
      <c r="G40">
        <v>9.8169999999999993E-2</v>
      </c>
      <c r="H40" t="s">
        <v>40</v>
      </c>
      <c r="I40" s="3" t="s">
        <v>60</v>
      </c>
      <c r="J40" s="3">
        <f>B40+B41</f>
        <v>617.34579999999994</v>
      </c>
      <c r="K40" s="3">
        <f>MAX(E40:E41)</f>
        <v>32</v>
      </c>
      <c r="L40">
        <f>AVERAGE(F40:G41)</f>
        <v>7.8039999999999998E-2</v>
      </c>
      <c r="M40">
        <v>1</v>
      </c>
      <c r="N40">
        <f t="shared" si="4"/>
        <v>572.94834788333321</v>
      </c>
      <c r="O40" s="11">
        <f t="shared" si="5"/>
        <v>9.3647999999999995E-2</v>
      </c>
      <c r="Q40" s="9">
        <f t="shared" si="6"/>
        <v>565.03781842537796</v>
      </c>
    </row>
    <row r="41" spans="1:17" x14ac:dyDescent="0.25">
      <c r="A41">
        <v>49266</v>
      </c>
      <c r="B41">
        <v>229.3124</v>
      </c>
      <c r="C41">
        <v>29.524229999999999</v>
      </c>
      <c r="D41">
        <v>30.029409999999999</v>
      </c>
      <c r="E41">
        <v>32</v>
      </c>
      <c r="F41">
        <v>8.7059999999999998E-2</v>
      </c>
      <c r="G41">
        <v>2.2540000000000001E-2</v>
      </c>
      <c r="H41" t="s">
        <v>39</v>
      </c>
      <c r="I41" s="3"/>
      <c r="J41" s="3"/>
      <c r="K41" s="3"/>
      <c r="O41" s="11"/>
      <c r="Q41" s="9"/>
    </row>
    <row r="42" spans="1:17" x14ac:dyDescent="0.25">
      <c r="A42">
        <v>49267</v>
      </c>
      <c r="B42">
        <v>210.8972</v>
      </c>
      <c r="C42">
        <v>31.808620000000001</v>
      </c>
      <c r="D42">
        <v>31.38598</v>
      </c>
      <c r="E42">
        <v>32</v>
      </c>
      <c r="F42">
        <v>0.13411999999999999</v>
      </c>
      <c r="G42">
        <v>5.5870000000000003E-2</v>
      </c>
      <c r="H42" t="s">
        <v>38</v>
      </c>
      <c r="I42" s="3" t="s">
        <v>61</v>
      </c>
      <c r="J42" s="3">
        <f>B42+B43</f>
        <v>581.83079999999995</v>
      </c>
      <c r="K42" s="3">
        <f>MAX(E42:E43)</f>
        <v>32</v>
      </c>
      <c r="L42">
        <f>AVERAGE(F42:G43)</f>
        <v>9.3702499999999994E-2</v>
      </c>
      <c r="M42">
        <v>1</v>
      </c>
      <c r="N42">
        <f t="shared" si="4"/>
        <v>539.98746829999993</v>
      </c>
      <c r="O42" s="11">
        <f t="shared" si="5"/>
        <v>0.11244299999999999</v>
      </c>
      <c r="Q42" s="9">
        <f t="shared" si="6"/>
        <v>532.53202001972375</v>
      </c>
    </row>
    <row r="43" spans="1:17" x14ac:dyDescent="0.25">
      <c r="A43">
        <v>49268</v>
      </c>
      <c r="B43">
        <v>370.93360000000001</v>
      </c>
      <c r="C43">
        <v>29.552969999999998</v>
      </c>
      <c r="D43">
        <v>29.509969999999999</v>
      </c>
      <c r="E43">
        <v>32</v>
      </c>
      <c r="F43">
        <v>8.3000000000000004E-2</v>
      </c>
      <c r="G43">
        <v>0.10181999999999999</v>
      </c>
      <c r="H43" t="s">
        <v>37</v>
      </c>
      <c r="I43" s="3"/>
      <c r="J43" s="3"/>
      <c r="K43" s="3"/>
      <c r="O43" s="11"/>
      <c r="Q43" s="9"/>
    </row>
    <row r="44" spans="1:17" x14ac:dyDescent="0.25">
      <c r="A44">
        <v>49270</v>
      </c>
      <c r="B44">
        <v>304.72680000000003</v>
      </c>
      <c r="C44">
        <v>25.136579999999999</v>
      </c>
      <c r="D44">
        <v>24.808810000000001</v>
      </c>
      <c r="E44">
        <v>32</v>
      </c>
      <c r="F44">
        <v>7.0559999999999998E-2</v>
      </c>
      <c r="G44">
        <v>0.10067</v>
      </c>
      <c r="H44" t="s">
        <v>41</v>
      </c>
      <c r="I44" s="3" t="s">
        <v>62</v>
      </c>
      <c r="J44" s="3">
        <f>B44+B45</f>
        <v>506.19720000000007</v>
      </c>
      <c r="K44" s="3">
        <f>MAX(E44:E45)</f>
        <v>32</v>
      </c>
      <c r="L44">
        <f>AVERAGE(F44:G45)</f>
        <v>7.27275E-2</v>
      </c>
      <c r="M44">
        <v>1</v>
      </c>
      <c r="N44">
        <f t="shared" si="4"/>
        <v>469.79318469999998</v>
      </c>
      <c r="O44" s="11">
        <f t="shared" si="5"/>
        <v>8.7273000000000003E-2</v>
      </c>
      <c r="Q44" s="9">
        <f t="shared" si="6"/>
        <v>463.3068882642998</v>
      </c>
    </row>
    <row r="45" spans="1:17" x14ac:dyDescent="0.25">
      <c r="A45">
        <v>49271</v>
      </c>
      <c r="B45">
        <v>201.47040000000001</v>
      </c>
      <c r="C45">
        <v>29.133849999999999</v>
      </c>
      <c r="D45">
        <v>29.124179999999999</v>
      </c>
      <c r="E45">
        <v>32</v>
      </c>
      <c r="F45">
        <v>7.6740000000000003E-2</v>
      </c>
      <c r="G45">
        <v>4.2939999999999999E-2</v>
      </c>
      <c r="H45" t="s">
        <v>42</v>
      </c>
      <c r="I45" s="3"/>
      <c r="J45" s="3"/>
      <c r="K45" s="3"/>
      <c r="O45" s="11"/>
      <c r="Q45" s="9"/>
    </row>
    <row r="46" spans="1:17" x14ac:dyDescent="0.25">
      <c r="A46">
        <v>49902</v>
      </c>
      <c r="B46">
        <v>49.984000000000002</v>
      </c>
      <c r="C46">
        <v>31.885200000000001</v>
      </c>
      <c r="D46">
        <v>32.945480000000003</v>
      </c>
      <c r="E46">
        <v>32</v>
      </c>
      <c r="F46">
        <v>0.11111</v>
      </c>
      <c r="G46">
        <v>4.6510000000000003E-2</v>
      </c>
      <c r="H46" t="s">
        <v>32</v>
      </c>
      <c r="I46" s="3" t="s">
        <v>73</v>
      </c>
      <c r="J46" s="3">
        <f>B46+B47</f>
        <v>64.014600000000002</v>
      </c>
      <c r="K46" s="3">
        <f>MAX(E46:E47)</f>
        <v>32</v>
      </c>
      <c r="L46">
        <f>AVERAGE(F46:G47)</f>
        <v>0.19556250000000003</v>
      </c>
      <c r="M46">
        <v>1</v>
      </c>
      <c r="N46">
        <f t="shared" si="4"/>
        <v>59.410883349999999</v>
      </c>
      <c r="O46" s="11">
        <f t="shared" si="5"/>
        <v>0.23467500000000002</v>
      </c>
      <c r="Q46" s="9">
        <f t="shared" si="6"/>
        <v>58.59061474358974</v>
      </c>
    </row>
    <row r="47" spans="1:17" x14ac:dyDescent="0.25">
      <c r="A47">
        <v>49892</v>
      </c>
      <c r="B47">
        <v>14.0306</v>
      </c>
      <c r="C47">
        <v>20.21115</v>
      </c>
      <c r="D47">
        <v>21.637070000000001</v>
      </c>
      <c r="E47">
        <v>32</v>
      </c>
      <c r="F47">
        <v>0.31034</v>
      </c>
      <c r="G47">
        <v>0.31429000000000001</v>
      </c>
      <c r="H47" t="s">
        <v>31</v>
      </c>
      <c r="I47" s="3"/>
      <c r="J47" s="3"/>
      <c r="K47" s="3"/>
      <c r="O47" s="11"/>
      <c r="Q47" s="9"/>
    </row>
    <row r="48" spans="1:17" x14ac:dyDescent="0.25">
      <c r="A48">
        <v>49903</v>
      </c>
      <c r="B48">
        <v>9.2075999999999993</v>
      </c>
      <c r="C48">
        <v>31.194520000000001</v>
      </c>
      <c r="D48">
        <v>31.830190000000002</v>
      </c>
      <c r="E48">
        <v>32</v>
      </c>
      <c r="F48">
        <v>0</v>
      </c>
      <c r="G48">
        <v>0</v>
      </c>
      <c r="H48" t="s">
        <v>34</v>
      </c>
      <c r="I48" s="3" t="s">
        <v>74</v>
      </c>
      <c r="J48" s="3">
        <f>B48+B49</f>
        <v>29.157299999999999</v>
      </c>
      <c r="K48" s="3">
        <f>MAX(E48:E49)</f>
        <v>32</v>
      </c>
      <c r="L48">
        <f>AVERAGE(F48:G49)</f>
        <v>0</v>
      </c>
      <c r="M48">
        <v>1</v>
      </c>
      <c r="N48">
        <f t="shared" si="4"/>
        <v>27.060404174999995</v>
      </c>
      <c r="O48" s="11">
        <f t="shared" si="5"/>
        <v>0</v>
      </c>
      <c r="Q48" s="9">
        <f t="shared" si="6"/>
        <v>26.68678912721893</v>
      </c>
    </row>
    <row r="49" spans="1:17" x14ac:dyDescent="0.25">
      <c r="A49">
        <v>49899</v>
      </c>
      <c r="B49">
        <v>19.9497</v>
      </c>
      <c r="C49">
        <v>32.827930000000002</v>
      </c>
      <c r="D49">
        <v>33.713479999999997</v>
      </c>
      <c r="E49">
        <v>32</v>
      </c>
      <c r="F49">
        <v>0</v>
      </c>
      <c r="G49">
        <v>0</v>
      </c>
      <c r="H49" t="s">
        <v>33</v>
      </c>
      <c r="Q49" s="9"/>
    </row>
    <row r="50" spans="1:17" x14ac:dyDescent="0.25">
      <c r="Q50" s="9"/>
    </row>
    <row r="51" spans="1:17" x14ac:dyDescent="0.25">
      <c r="Q51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71831-C9E7-4447-BF60-09993A98BC00}">
  <sheetPr codeName="Sheet8">
    <tabColor theme="8"/>
  </sheetPr>
  <dimension ref="A1:O49"/>
  <sheetViews>
    <sheetView workbookViewId="0">
      <selection activeCell="R23" sqref="R23"/>
    </sheetView>
  </sheetViews>
  <sheetFormatPr defaultRowHeight="15" x14ac:dyDescent="0.25"/>
  <cols>
    <col min="1" max="1" width="6" bestFit="1" customWidth="1"/>
    <col min="2" max="2" width="13.5703125" customWidth="1"/>
    <col min="3" max="3" width="11.42578125" bestFit="1" customWidth="1"/>
    <col min="4" max="4" width="11.28515625" bestFit="1" customWidth="1"/>
    <col min="5" max="5" width="10.7109375" bestFit="1" customWidth="1"/>
    <col min="6" max="6" width="15.7109375" bestFit="1" customWidth="1"/>
    <col min="8" max="8" width="27.28515625" bestFit="1" customWidth="1"/>
    <col min="9" max="9" width="24" customWidth="1"/>
    <col min="10" max="10" width="11" customWidth="1"/>
    <col min="11" max="11" width="16.5703125" bestFit="1" customWidth="1"/>
    <col min="12" max="12" width="25.140625" customWidth="1"/>
    <col min="13" max="13" width="10.7109375" customWidth="1"/>
    <col min="14" max="14" width="10.28515625" style="10" bestFit="1" customWidth="1"/>
    <col min="15" max="15" width="10.140625" style="12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3"/>
      <c r="J1" s="3" t="s">
        <v>1</v>
      </c>
      <c r="K1" s="3" t="s">
        <v>69</v>
      </c>
      <c r="L1" t="s">
        <v>63</v>
      </c>
      <c r="M1" t="s">
        <v>75</v>
      </c>
      <c r="N1" s="8" t="s">
        <v>76</v>
      </c>
      <c r="O1" s="11" t="s">
        <v>77</v>
      </c>
    </row>
    <row r="2" spans="1:15" x14ac:dyDescent="0.25">
      <c r="A2" s="1">
        <v>504</v>
      </c>
      <c r="B2" s="1">
        <v>25583.8959</v>
      </c>
      <c r="C2" s="1">
        <v>97.331379999999996</v>
      </c>
      <c r="D2" s="1">
        <v>100.00064999999999</v>
      </c>
      <c r="E2" s="1">
        <v>120</v>
      </c>
      <c r="F2" s="1">
        <v>0.11699</v>
      </c>
      <c r="G2" s="1">
        <v>5.6550000000000003E-2</v>
      </c>
      <c r="H2" s="1" t="s">
        <v>12</v>
      </c>
      <c r="I2" s="3" t="str">
        <f t="shared" ref="I2:I7" si="0">H2</f>
        <v>A19 NB North</v>
      </c>
      <c r="J2" s="4">
        <f t="shared" ref="J2:J7" si="1">B2</f>
        <v>25583.8959</v>
      </c>
      <c r="K2" s="3">
        <f t="shared" ref="K2:K7" si="2">E2</f>
        <v>120</v>
      </c>
      <c r="L2" s="15">
        <f t="shared" ref="L2:L7" si="3">AVERAGE(F2:G2)</f>
        <v>8.677E-2</v>
      </c>
      <c r="M2">
        <v>3</v>
      </c>
      <c r="N2" s="9">
        <f>AADT2AAWT(M2,J2)</f>
        <v>23845.043775329996</v>
      </c>
      <c r="O2" s="11">
        <f>HGVWeekday(L2)</f>
        <v>0.10412399999999999</v>
      </c>
    </row>
    <row r="3" spans="1:15" x14ac:dyDescent="0.25">
      <c r="A3" s="1">
        <v>48032</v>
      </c>
      <c r="B3" s="1">
        <v>26959.770199999999</v>
      </c>
      <c r="C3" s="1">
        <v>100.27408</v>
      </c>
      <c r="D3" s="1">
        <v>102.22439</v>
      </c>
      <c r="E3" s="1">
        <v>120</v>
      </c>
      <c r="F3" s="1">
        <v>8.3960000000000007E-2</v>
      </c>
      <c r="G3" s="1">
        <v>7.1489999999999998E-2</v>
      </c>
      <c r="H3" s="1" t="s">
        <v>11</v>
      </c>
      <c r="I3" s="3" t="str">
        <f t="shared" si="0"/>
        <v>A19 SB North</v>
      </c>
      <c r="J3" s="4">
        <f t="shared" si="1"/>
        <v>26959.770199999999</v>
      </c>
      <c r="K3" s="3">
        <f t="shared" si="2"/>
        <v>120</v>
      </c>
      <c r="L3" s="15">
        <f t="shared" si="3"/>
        <v>7.7725000000000002E-2</v>
      </c>
      <c r="M3">
        <v>3</v>
      </c>
      <c r="N3" s="9">
        <f t="shared" ref="N3:N48" si="4">AADT2AAWT(M3,J3)</f>
        <v>25127.40448540666</v>
      </c>
      <c r="O3" s="11">
        <f t="shared" ref="O3:O48" si="5">HGVWeekday(L3)</f>
        <v>9.3270000000000006E-2</v>
      </c>
    </row>
    <row r="4" spans="1:15" x14ac:dyDescent="0.25">
      <c r="A4" s="2">
        <v>47938</v>
      </c>
      <c r="B4" s="2">
        <v>27014.796399999999</v>
      </c>
      <c r="C4" s="2">
        <v>100.41064</v>
      </c>
      <c r="D4" s="2">
        <v>102.11908</v>
      </c>
      <c r="E4" s="2">
        <v>120</v>
      </c>
      <c r="F4" s="2">
        <v>8.4220000000000003E-2</v>
      </c>
      <c r="G4" s="2">
        <v>7.1419999999999997E-2</v>
      </c>
      <c r="H4" s="2" t="s">
        <v>7</v>
      </c>
      <c r="I4" s="3" t="str">
        <f t="shared" si="0"/>
        <v>A19 SB M</v>
      </c>
      <c r="J4" s="4">
        <f t="shared" si="1"/>
        <v>27014.796399999999</v>
      </c>
      <c r="K4" s="3">
        <f t="shared" si="2"/>
        <v>120</v>
      </c>
      <c r="L4" s="15">
        <f t="shared" si="3"/>
        <v>7.782E-2</v>
      </c>
      <c r="M4">
        <v>3</v>
      </c>
      <c r="N4" s="9">
        <f t="shared" si="4"/>
        <v>25178.690738013334</v>
      </c>
      <c r="O4" s="11">
        <f t="shared" si="5"/>
        <v>9.3383999999999995E-2</v>
      </c>
    </row>
    <row r="5" spans="1:15" x14ac:dyDescent="0.25">
      <c r="A5" s="2">
        <v>48042</v>
      </c>
      <c r="B5" s="2">
        <v>25450.1669</v>
      </c>
      <c r="C5" s="2">
        <v>99.644310000000004</v>
      </c>
      <c r="D5" s="2">
        <v>94.289209999999997</v>
      </c>
      <c r="E5" s="2">
        <v>120</v>
      </c>
      <c r="F5" s="2">
        <v>0.11736000000000001</v>
      </c>
      <c r="G5" s="2">
        <v>5.3350000000000002E-2</v>
      </c>
      <c r="H5" s="2" t="s">
        <v>8</v>
      </c>
      <c r="I5" s="3" t="str">
        <f t="shared" si="0"/>
        <v>A19 NB M</v>
      </c>
      <c r="J5" s="4">
        <f t="shared" si="1"/>
        <v>25450.1669</v>
      </c>
      <c r="K5" s="3">
        <f t="shared" si="2"/>
        <v>120</v>
      </c>
      <c r="L5" s="15">
        <f t="shared" si="3"/>
        <v>8.5355E-2</v>
      </c>
      <c r="M5">
        <v>3</v>
      </c>
      <c r="N5" s="9">
        <f t="shared" si="4"/>
        <v>23720.403889696667</v>
      </c>
      <c r="O5" s="11">
        <f t="shared" si="5"/>
        <v>0.102426</v>
      </c>
    </row>
    <row r="6" spans="1:15" x14ac:dyDescent="0.25">
      <c r="A6" s="2">
        <v>47939</v>
      </c>
      <c r="B6" s="2">
        <v>26468.699700000001</v>
      </c>
      <c r="C6" s="2">
        <v>99.692880000000002</v>
      </c>
      <c r="D6" s="2">
        <v>75.877449999999996</v>
      </c>
      <c r="E6" s="2">
        <v>120</v>
      </c>
      <c r="F6" s="2">
        <v>0.11576</v>
      </c>
      <c r="G6" s="2">
        <v>5.0180000000000002E-2</v>
      </c>
      <c r="H6" s="2" t="s">
        <v>10</v>
      </c>
      <c r="I6" s="3" t="str">
        <f t="shared" si="0"/>
        <v>A19 NB South</v>
      </c>
      <c r="J6" s="4">
        <f t="shared" si="1"/>
        <v>26468.699700000001</v>
      </c>
      <c r="K6" s="3">
        <f t="shared" si="2"/>
        <v>120</v>
      </c>
      <c r="L6" s="15">
        <f t="shared" si="3"/>
        <v>8.2970000000000002E-2</v>
      </c>
      <c r="M6">
        <v>3</v>
      </c>
      <c r="N6" s="9">
        <f t="shared" si="4"/>
        <v>24669.710410390002</v>
      </c>
      <c r="O6" s="11">
        <f t="shared" si="5"/>
        <v>9.9564E-2</v>
      </c>
    </row>
    <row r="7" spans="1:15" x14ac:dyDescent="0.25">
      <c r="A7" s="2">
        <v>48061</v>
      </c>
      <c r="B7" s="2">
        <v>28015.133300000001</v>
      </c>
      <c r="C7" s="2">
        <v>97.413499999999999</v>
      </c>
      <c r="D7" s="2">
        <v>100.52861</v>
      </c>
      <c r="E7" s="2">
        <v>120</v>
      </c>
      <c r="F7" s="2">
        <v>7.9799999999999996E-2</v>
      </c>
      <c r="G7" s="2">
        <v>7.0499999999999993E-2</v>
      </c>
      <c r="H7" s="2" t="s">
        <v>9</v>
      </c>
      <c r="I7" s="3" t="str">
        <f t="shared" si="0"/>
        <v>A19 SB South</v>
      </c>
      <c r="J7" s="4">
        <f t="shared" si="1"/>
        <v>28015.133300000001</v>
      </c>
      <c r="K7" s="3">
        <f t="shared" si="2"/>
        <v>120</v>
      </c>
      <c r="L7" s="15">
        <f t="shared" si="3"/>
        <v>7.5149999999999995E-2</v>
      </c>
      <c r="M7">
        <v>3</v>
      </c>
      <c r="N7" s="9">
        <f t="shared" si="4"/>
        <v>26111.038073376665</v>
      </c>
      <c r="O7" s="11">
        <f t="shared" si="5"/>
        <v>9.0179999999999996E-2</v>
      </c>
    </row>
    <row r="8" spans="1:15" x14ac:dyDescent="0.25">
      <c r="A8">
        <v>48055</v>
      </c>
      <c r="B8">
        <v>301.4384</v>
      </c>
      <c r="C8">
        <v>50.063830000000003</v>
      </c>
      <c r="D8">
        <v>49.647730000000003</v>
      </c>
      <c r="E8">
        <v>50</v>
      </c>
      <c r="F8">
        <v>0.18067</v>
      </c>
      <c r="G8">
        <v>0.31183</v>
      </c>
      <c r="H8" t="s">
        <v>14</v>
      </c>
      <c r="I8" s="3" t="s">
        <v>64</v>
      </c>
      <c r="J8" s="4">
        <f>B8+B9</f>
        <v>520.88549999999998</v>
      </c>
      <c r="K8" s="3">
        <f>MAX(E8:E9)</f>
        <v>50</v>
      </c>
      <c r="L8" s="15">
        <f>AVERAGE(F8:G9)</f>
        <v>0.1933175</v>
      </c>
      <c r="M8">
        <v>1</v>
      </c>
      <c r="N8" s="9">
        <f t="shared" si="4"/>
        <v>483.42515112499996</v>
      </c>
      <c r="O8" s="11">
        <f t="shared" si="5"/>
        <v>0.23198099999999999</v>
      </c>
    </row>
    <row r="9" spans="1:15" x14ac:dyDescent="0.25">
      <c r="A9">
        <v>49272</v>
      </c>
      <c r="B9">
        <v>219.44710000000001</v>
      </c>
      <c r="C9">
        <v>52.185560000000002</v>
      </c>
      <c r="D9">
        <v>51.889499999999998</v>
      </c>
      <c r="E9">
        <v>50</v>
      </c>
      <c r="F9">
        <v>0.22642000000000001</v>
      </c>
      <c r="G9">
        <v>5.4350000000000002E-2</v>
      </c>
      <c r="H9" t="s">
        <v>13</v>
      </c>
      <c r="I9" s="3"/>
      <c r="J9" s="4"/>
      <c r="K9" s="3"/>
      <c r="L9" s="15"/>
      <c r="N9" s="8"/>
      <c r="O9" s="11"/>
    </row>
    <row r="10" spans="1:15" x14ac:dyDescent="0.25">
      <c r="A10">
        <v>49278</v>
      </c>
      <c r="B10">
        <v>324.67649999999998</v>
      </c>
      <c r="C10">
        <v>30.073830000000001</v>
      </c>
      <c r="D10">
        <v>31.645520000000001</v>
      </c>
      <c r="E10">
        <v>32</v>
      </c>
      <c r="F10">
        <v>0.14771000000000001</v>
      </c>
      <c r="G10">
        <v>0.18609999999999999</v>
      </c>
      <c r="H10" t="s">
        <v>16</v>
      </c>
      <c r="I10" s="3" t="s">
        <v>66</v>
      </c>
      <c r="J10" s="4">
        <f>B10+B11</f>
        <v>727.39819999999997</v>
      </c>
      <c r="K10" s="3">
        <f>MAX(E10:E11)</f>
        <v>32</v>
      </c>
      <c r="L10" s="15">
        <f>AVERAGE(F10:G11)</f>
        <v>0.108525</v>
      </c>
      <c r="M10">
        <v>1</v>
      </c>
      <c r="N10" s="9">
        <f t="shared" si="4"/>
        <v>675.08614611666655</v>
      </c>
      <c r="O10" s="11">
        <f t="shared" si="5"/>
        <v>0.13022999999999998</v>
      </c>
    </row>
    <row r="11" spans="1:15" x14ac:dyDescent="0.25">
      <c r="A11">
        <v>49294</v>
      </c>
      <c r="B11">
        <v>402.7217</v>
      </c>
      <c r="C11">
        <v>30.06204</v>
      </c>
      <c r="D11">
        <v>31.975159999999999</v>
      </c>
      <c r="E11">
        <v>32</v>
      </c>
      <c r="F11">
        <v>6.9769999999999999E-2</v>
      </c>
      <c r="G11">
        <v>3.0519999999999999E-2</v>
      </c>
      <c r="H11" t="s">
        <v>15</v>
      </c>
      <c r="I11" s="3"/>
      <c r="J11" s="4"/>
      <c r="K11" s="3"/>
      <c r="L11" s="15"/>
      <c r="N11" s="8"/>
      <c r="O11" s="11"/>
    </row>
    <row r="12" spans="1:15" x14ac:dyDescent="0.25">
      <c r="A12">
        <v>49291</v>
      </c>
      <c r="B12">
        <v>407.54469999999998</v>
      </c>
      <c r="C12">
        <v>33.627049999999997</v>
      </c>
      <c r="D12">
        <v>33.630949999999999</v>
      </c>
      <c r="E12">
        <v>32</v>
      </c>
      <c r="F12">
        <v>6.2210000000000001E-2</v>
      </c>
      <c r="G12">
        <v>8.3879999999999996E-2</v>
      </c>
      <c r="H12" t="s">
        <v>18</v>
      </c>
      <c r="I12" s="3" t="s">
        <v>67</v>
      </c>
      <c r="J12" s="4">
        <f>B12+B13</f>
        <v>1053.1709000000001</v>
      </c>
      <c r="K12" s="3">
        <f>MAX(E12:E13)</f>
        <v>32</v>
      </c>
      <c r="L12" s="15">
        <f>AVERAGE(F12:G13)</f>
        <v>5.3970000000000004E-2</v>
      </c>
      <c r="M12">
        <v>1</v>
      </c>
      <c r="N12" s="9">
        <f t="shared" si="4"/>
        <v>977.43035944166684</v>
      </c>
      <c r="O12" s="11">
        <f t="shared" si="5"/>
        <v>6.4764000000000002E-2</v>
      </c>
    </row>
    <row r="13" spans="1:15" x14ac:dyDescent="0.25">
      <c r="A13">
        <v>49304</v>
      </c>
      <c r="B13">
        <v>645.62620000000004</v>
      </c>
      <c r="C13">
        <v>34.018569999999997</v>
      </c>
      <c r="D13">
        <v>34.081249999999997</v>
      </c>
      <c r="E13">
        <v>32</v>
      </c>
      <c r="F13">
        <v>4.2590000000000003E-2</v>
      </c>
      <c r="G13">
        <v>2.7199999999999998E-2</v>
      </c>
      <c r="H13" t="s">
        <v>17</v>
      </c>
      <c r="I13" s="3"/>
      <c r="J13" s="4"/>
      <c r="K13" s="3"/>
      <c r="L13" s="15"/>
      <c r="N13" s="8"/>
      <c r="O13" s="11"/>
    </row>
    <row r="14" spans="1:15" x14ac:dyDescent="0.25">
      <c r="A14">
        <v>5658</v>
      </c>
      <c r="B14">
        <v>879.54229999999995</v>
      </c>
      <c r="C14">
        <v>28.220320000000001</v>
      </c>
      <c r="D14">
        <v>27.72025</v>
      </c>
      <c r="E14">
        <v>32</v>
      </c>
      <c r="F14">
        <v>4.3360000000000003E-2</v>
      </c>
      <c r="G14">
        <v>2.579E-2</v>
      </c>
      <c r="H14" t="s">
        <v>19</v>
      </c>
      <c r="I14" s="3" t="s">
        <v>65</v>
      </c>
      <c r="J14" s="4">
        <f>B14+B15</f>
        <v>1417.0890999999999</v>
      </c>
      <c r="K14" s="3">
        <f>MAX(E14:E15)</f>
        <v>32</v>
      </c>
      <c r="L14" s="15">
        <f>AVERAGE(F14:G15)</f>
        <v>3.9675000000000002E-2</v>
      </c>
      <c r="M14">
        <v>1</v>
      </c>
      <c r="N14" s="9">
        <f t="shared" si="4"/>
        <v>1315.1767755583332</v>
      </c>
      <c r="O14" s="11">
        <f t="shared" si="5"/>
        <v>4.761E-2</v>
      </c>
    </row>
    <row r="15" spans="1:15" x14ac:dyDescent="0.25">
      <c r="A15">
        <v>49307</v>
      </c>
      <c r="B15">
        <v>537.54679999999996</v>
      </c>
      <c r="C15">
        <v>33.569540000000003</v>
      </c>
      <c r="D15">
        <v>33.72307</v>
      </c>
      <c r="E15">
        <v>32</v>
      </c>
      <c r="F15">
        <v>5.7290000000000001E-2</v>
      </c>
      <c r="G15">
        <v>3.2259999999999997E-2</v>
      </c>
      <c r="H15" t="s">
        <v>20</v>
      </c>
      <c r="I15" s="3"/>
      <c r="J15" s="4"/>
      <c r="K15" s="3"/>
      <c r="L15" s="15"/>
      <c r="N15" s="8"/>
      <c r="O15" s="11"/>
    </row>
    <row r="16" spans="1:15" x14ac:dyDescent="0.25">
      <c r="A16">
        <v>4843</v>
      </c>
      <c r="B16">
        <v>1246.5298</v>
      </c>
      <c r="C16">
        <v>51.845460000000003</v>
      </c>
      <c r="D16">
        <v>52.049990000000001</v>
      </c>
      <c r="E16">
        <v>50</v>
      </c>
      <c r="F16">
        <v>4.9579999999999999E-2</v>
      </c>
      <c r="G16">
        <v>1.0540000000000001E-2</v>
      </c>
      <c r="H16" t="s">
        <v>22</v>
      </c>
      <c r="I16" s="3" t="s">
        <v>88</v>
      </c>
      <c r="J16" s="4">
        <f>B16+B17</f>
        <v>2659.0151999999998</v>
      </c>
      <c r="K16" s="3">
        <f>MAX(E16:E17)</f>
        <v>50</v>
      </c>
      <c r="L16" s="15">
        <f>AVERAGE(F16:G17)</f>
        <v>3.3345E-2</v>
      </c>
      <c r="M16">
        <v>1</v>
      </c>
      <c r="N16" s="9">
        <f t="shared" si="4"/>
        <v>2467.7876901999998</v>
      </c>
      <c r="O16" s="11">
        <f t="shared" si="5"/>
        <v>4.0014000000000001E-2</v>
      </c>
    </row>
    <row r="17" spans="1:15" x14ac:dyDescent="0.25">
      <c r="A17">
        <v>47962</v>
      </c>
      <c r="B17">
        <v>1412.4854</v>
      </c>
      <c r="C17">
        <v>50.081220000000002</v>
      </c>
      <c r="D17">
        <v>50.176380000000002</v>
      </c>
      <c r="E17">
        <v>50</v>
      </c>
      <c r="F17">
        <v>1.5910000000000001E-2</v>
      </c>
      <c r="G17">
        <v>5.7349999999999998E-2</v>
      </c>
      <c r="H17" t="s">
        <v>21</v>
      </c>
      <c r="I17" s="3"/>
      <c r="J17" s="4"/>
      <c r="K17" s="3"/>
      <c r="L17" s="15"/>
      <c r="N17" s="8"/>
      <c r="O17" s="11"/>
    </row>
    <row r="18" spans="1:15" x14ac:dyDescent="0.25">
      <c r="A18">
        <v>3097</v>
      </c>
      <c r="B18">
        <v>1917.8056999999999</v>
      </c>
      <c r="C18">
        <v>48.5291</v>
      </c>
      <c r="D18">
        <v>44.874879999999997</v>
      </c>
      <c r="E18">
        <v>50</v>
      </c>
      <c r="F18">
        <v>2.299E-2</v>
      </c>
      <c r="G18">
        <v>4.48E-2</v>
      </c>
      <c r="H18" t="s">
        <v>23</v>
      </c>
      <c r="I18" s="3" t="s">
        <v>89</v>
      </c>
      <c r="J18" s="4">
        <f>B18+B19</f>
        <v>3977.0133999999998</v>
      </c>
      <c r="K18" s="3">
        <f>MAX(E18:E19)</f>
        <v>50</v>
      </c>
      <c r="L18" s="15">
        <f>AVERAGE(F18:G19)</f>
        <v>3.2452500000000002E-2</v>
      </c>
      <c r="M18">
        <v>1</v>
      </c>
      <c r="N18" s="9">
        <f t="shared" si="4"/>
        <v>3690.9998529833329</v>
      </c>
      <c r="O18" s="11">
        <f t="shared" si="5"/>
        <v>3.8942999999999998E-2</v>
      </c>
    </row>
    <row r="19" spans="1:15" x14ac:dyDescent="0.25">
      <c r="A19">
        <v>48211</v>
      </c>
      <c r="B19">
        <v>2059.2076999999999</v>
      </c>
      <c r="C19">
        <v>43.885910000000003</v>
      </c>
      <c r="D19">
        <v>45.174860000000002</v>
      </c>
      <c r="E19">
        <v>50</v>
      </c>
      <c r="F19">
        <v>4.6260000000000003E-2</v>
      </c>
      <c r="G19">
        <v>1.576E-2</v>
      </c>
      <c r="H19" t="s">
        <v>24</v>
      </c>
      <c r="I19" s="3"/>
      <c r="J19" s="4"/>
      <c r="K19" s="3"/>
      <c r="L19" s="15"/>
      <c r="N19" s="8"/>
      <c r="O19" s="11"/>
    </row>
    <row r="20" spans="1:15" x14ac:dyDescent="0.25">
      <c r="A20">
        <v>43145</v>
      </c>
      <c r="B20">
        <v>2165.5331999999999</v>
      </c>
      <c r="C20">
        <v>50.443910000000002</v>
      </c>
      <c r="D20">
        <v>50.293930000000003</v>
      </c>
      <c r="E20">
        <v>50</v>
      </c>
      <c r="F20">
        <v>2.383E-2</v>
      </c>
      <c r="G20">
        <v>1.6219999999999998E-2</v>
      </c>
      <c r="H20" t="s">
        <v>26</v>
      </c>
      <c r="I20" s="3" t="s">
        <v>90</v>
      </c>
      <c r="J20" s="4">
        <f>B20+B21</f>
        <v>4820.1638000000003</v>
      </c>
      <c r="K20" s="3">
        <f>MAX(E20:E21)</f>
        <v>50</v>
      </c>
      <c r="L20" s="15">
        <f>AVERAGE(F20:G21)</f>
        <v>2.6127500000000001E-2</v>
      </c>
      <c r="M20">
        <v>1</v>
      </c>
      <c r="N20" s="9">
        <f t="shared" si="4"/>
        <v>4473.5136867166666</v>
      </c>
      <c r="O20" s="11">
        <f t="shared" si="5"/>
        <v>3.1352999999999999E-2</v>
      </c>
    </row>
    <row r="21" spans="1:15" x14ac:dyDescent="0.25">
      <c r="A21">
        <v>49907</v>
      </c>
      <c r="B21">
        <v>2654.6306</v>
      </c>
      <c r="C21">
        <v>49.24024</v>
      </c>
      <c r="D21">
        <v>50.213189999999997</v>
      </c>
      <c r="E21">
        <v>50</v>
      </c>
      <c r="F21">
        <v>4.4409999999999998E-2</v>
      </c>
      <c r="G21">
        <v>2.0049999999999998E-2</v>
      </c>
      <c r="H21" t="s">
        <v>25</v>
      </c>
      <c r="I21" s="3"/>
      <c r="J21" s="4"/>
      <c r="K21" s="3"/>
      <c r="L21" s="15"/>
      <c r="N21" s="8"/>
      <c r="O21" s="11"/>
    </row>
    <row r="22" spans="1:15" x14ac:dyDescent="0.25">
      <c r="A22">
        <v>5661</v>
      </c>
      <c r="B22">
        <v>2662.0844000000002</v>
      </c>
      <c r="C22">
        <v>53.462510000000002</v>
      </c>
      <c r="D22">
        <v>53.125450000000001</v>
      </c>
      <c r="E22">
        <v>50</v>
      </c>
      <c r="F22">
        <v>4.4170000000000001E-2</v>
      </c>
      <c r="G22">
        <v>1.951E-2</v>
      </c>
      <c r="H22" t="s">
        <v>28</v>
      </c>
      <c r="I22" s="3" t="s">
        <v>91</v>
      </c>
      <c r="J22" s="4">
        <f>B22+B23</f>
        <v>4845.3751000000002</v>
      </c>
      <c r="K22" s="3">
        <f>MAX(E22:E23)</f>
        <v>50</v>
      </c>
      <c r="L22" s="15">
        <f>AVERAGE(F22:G23)</f>
        <v>2.5807500000000001E-2</v>
      </c>
      <c r="M22">
        <v>1</v>
      </c>
      <c r="N22" s="9">
        <f t="shared" si="4"/>
        <v>4496.9118740583344</v>
      </c>
      <c r="O22" s="11">
        <f t="shared" si="5"/>
        <v>3.0969E-2</v>
      </c>
    </row>
    <row r="23" spans="1:15" x14ac:dyDescent="0.25">
      <c r="A23">
        <v>49904</v>
      </c>
      <c r="B23">
        <v>2183.2907</v>
      </c>
      <c r="C23">
        <v>52.115920000000003</v>
      </c>
      <c r="D23">
        <v>52.673659999999998</v>
      </c>
      <c r="E23">
        <v>50</v>
      </c>
      <c r="F23">
        <v>2.3560000000000001E-2</v>
      </c>
      <c r="G23">
        <v>1.5990000000000001E-2</v>
      </c>
      <c r="H23" t="s">
        <v>27</v>
      </c>
      <c r="I23" s="3"/>
      <c r="J23" s="4"/>
      <c r="K23" s="3"/>
      <c r="L23" s="15"/>
      <c r="N23" s="8"/>
      <c r="O23" s="11"/>
    </row>
    <row r="24" spans="1:15" x14ac:dyDescent="0.25">
      <c r="A24">
        <v>5660</v>
      </c>
      <c r="B24">
        <v>2177.5907000000002</v>
      </c>
      <c r="C24">
        <v>66.797330000000002</v>
      </c>
      <c r="D24">
        <v>67.380200000000002</v>
      </c>
      <c r="E24">
        <v>64</v>
      </c>
      <c r="F24">
        <v>2.367E-2</v>
      </c>
      <c r="G24">
        <v>1.6E-2</v>
      </c>
      <c r="H24" t="s">
        <v>29</v>
      </c>
      <c r="I24" s="3" t="s">
        <v>92</v>
      </c>
      <c r="J24" s="4">
        <f>B24+B25</f>
        <v>4833.5367000000006</v>
      </c>
      <c r="K24" s="3">
        <f>MAX(E24:E25)</f>
        <v>64</v>
      </c>
      <c r="L24" s="15">
        <f>AVERAGE(F24:G25)</f>
        <v>2.57475E-2</v>
      </c>
      <c r="M24">
        <v>1</v>
      </c>
      <c r="N24" s="9">
        <f t="shared" si="4"/>
        <v>4485.9248523249998</v>
      </c>
      <c r="O24" s="11">
        <f t="shared" si="5"/>
        <v>3.0896999999999997E-2</v>
      </c>
    </row>
    <row r="25" spans="1:15" x14ac:dyDescent="0.25">
      <c r="A25">
        <v>43142</v>
      </c>
      <c r="B25">
        <v>2655.9459999999999</v>
      </c>
      <c r="C25">
        <v>65.914209999999997</v>
      </c>
      <c r="D25">
        <v>65.421639999999996</v>
      </c>
      <c r="E25">
        <v>64</v>
      </c>
      <c r="F25">
        <v>4.3920000000000001E-2</v>
      </c>
      <c r="G25">
        <v>1.9400000000000001E-2</v>
      </c>
      <c r="H25" t="s">
        <v>30</v>
      </c>
      <c r="I25" s="3"/>
      <c r="J25" s="4"/>
      <c r="K25" s="3"/>
      <c r="L25" s="15"/>
      <c r="N25" s="8"/>
      <c r="O25" s="11"/>
    </row>
    <row r="26" spans="1:15" x14ac:dyDescent="0.25">
      <c r="A26">
        <v>3374</v>
      </c>
      <c r="B26">
        <v>293.9846</v>
      </c>
      <c r="C26">
        <v>40.529310000000002</v>
      </c>
      <c r="D26">
        <v>40.859569999999998</v>
      </c>
      <c r="E26">
        <v>48</v>
      </c>
      <c r="F26">
        <v>0.15226000000000001</v>
      </c>
      <c r="G26">
        <v>0.10954</v>
      </c>
      <c r="H26" t="s">
        <v>53</v>
      </c>
      <c r="I26" s="3" t="s">
        <v>53</v>
      </c>
      <c r="J26" s="4">
        <f>B26+B27</f>
        <v>736.82500000000005</v>
      </c>
      <c r="K26" s="3">
        <f>MAX(E26:E27)</f>
        <v>48</v>
      </c>
      <c r="L26" s="15">
        <f>AVERAGE(F26:G27)</f>
        <v>0.12937000000000001</v>
      </c>
      <c r="M26">
        <v>1</v>
      </c>
      <c r="N26" s="9">
        <f t="shared" si="4"/>
        <v>683.83500208333328</v>
      </c>
      <c r="O26" s="11">
        <f t="shared" si="5"/>
        <v>0.15524400000000002</v>
      </c>
    </row>
    <row r="27" spans="1:15" x14ac:dyDescent="0.25">
      <c r="A27">
        <v>3375</v>
      </c>
      <c r="B27">
        <v>442.84039999999999</v>
      </c>
      <c r="C27">
        <v>47.434019999999997</v>
      </c>
      <c r="D27">
        <v>47.460709999999999</v>
      </c>
      <c r="E27">
        <v>48</v>
      </c>
      <c r="F27">
        <v>0.12592999999999999</v>
      </c>
      <c r="G27">
        <v>0.12975</v>
      </c>
      <c r="H27" t="s">
        <v>54</v>
      </c>
      <c r="I27" s="3"/>
      <c r="J27" s="4"/>
      <c r="K27" s="3"/>
      <c r="L27" s="15"/>
      <c r="N27" s="8"/>
      <c r="O27" s="11"/>
    </row>
    <row r="28" spans="1:15" x14ac:dyDescent="0.25">
      <c r="A28">
        <v>4844</v>
      </c>
      <c r="B28">
        <v>12364.6728</v>
      </c>
      <c r="C28">
        <v>78.713350000000005</v>
      </c>
      <c r="D28">
        <v>78.408550000000005</v>
      </c>
      <c r="E28">
        <v>80</v>
      </c>
      <c r="F28">
        <v>6.2019999999999999E-2</v>
      </c>
      <c r="G28">
        <v>1.8409999999999999E-2</v>
      </c>
      <c r="H28" t="s">
        <v>52</v>
      </c>
      <c r="I28" s="3" t="s">
        <v>70</v>
      </c>
      <c r="J28" s="4">
        <f>B28+B29</f>
        <v>24749.076099999998</v>
      </c>
      <c r="K28" s="3">
        <f>MAX(E28:E29)</f>
        <v>80</v>
      </c>
      <c r="L28" s="15">
        <f>AVERAGE(F28:G29)</f>
        <v>3.6082499999999997E-2</v>
      </c>
      <c r="M28">
        <v>3</v>
      </c>
      <c r="N28" s="9">
        <f t="shared" si="4"/>
        <v>23066.963894403332</v>
      </c>
      <c r="O28" s="11">
        <f t="shared" si="5"/>
        <v>4.3298999999999997E-2</v>
      </c>
    </row>
    <row r="29" spans="1:15" x14ac:dyDescent="0.25">
      <c r="A29">
        <v>4845</v>
      </c>
      <c r="B29">
        <v>12384.4033</v>
      </c>
      <c r="C29">
        <v>79.921989999999994</v>
      </c>
      <c r="D29">
        <v>81.064369999999997</v>
      </c>
      <c r="E29">
        <v>80</v>
      </c>
      <c r="F29">
        <v>3.5770000000000003E-2</v>
      </c>
      <c r="G29">
        <v>2.8129999999999999E-2</v>
      </c>
      <c r="H29" t="s">
        <v>51</v>
      </c>
      <c r="I29" s="3"/>
      <c r="J29" s="4"/>
      <c r="K29" s="3"/>
      <c r="L29" s="15"/>
      <c r="N29" s="8"/>
      <c r="O29" s="11"/>
    </row>
    <row r="30" spans="1:15" x14ac:dyDescent="0.25">
      <c r="A30">
        <v>5657</v>
      </c>
      <c r="B30">
        <v>399.87169999999998</v>
      </c>
      <c r="C30">
        <v>79.659909999999996</v>
      </c>
      <c r="D30">
        <v>80.979349999999997</v>
      </c>
      <c r="E30">
        <v>80</v>
      </c>
      <c r="F30">
        <v>0.14188999999999999</v>
      </c>
      <c r="G30">
        <v>7.4679999999999996E-2</v>
      </c>
      <c r="H30" t="s">
        <v>36</v>
      </c>
      <c r="I30" s="3" t="s">
        <v>36</v>
      </c>
      <c r="J30" s="4">
        <f>B30+B31</f>
        <v>545.43899999999996</v>
      </c>
      <c r="K30" s="3">
        <f>MAX(E30:E31)</f>
        <v>80</v>
      </c>
      <c r="L30" s="15">
        <f>AVERAGE(F30:G31)</f>
        <v>0.11468250000000001</v>
      </c>
      <c r="M30">
        <v>1</v>
      </c>
      <c r="N30" s="9">
        <f t="shared" si="4"/>
        <v>506.21284524999999</v>
      </c>
      <c r="O30" s="11">
        <f t="shared" si="5"/>
        <v>0.13761899999999999</v>
      </c>
    </row>
    <row r="31" spans="1:15" x14ac:dyDescent="0.25">
      <c r="A31">
        <v>47986</v>
      </c>
      <c r="B31">
        <v>145.56729999999999</v>
      </c>
      <c r="C31">
        <v>84.616860000000003</v>
      </c>
      <c r="D31">
        <v>84.587339999999998</v>
      </c>
      <c r="E31">
        <v>80</v>
      </c>
      <c r="F31">
        <v>0.14523</v>
      </c>
      <c r="G31">
        <v>9.6930000000000002E-2</v>
      </c>
      <c r="H31" t="s">
        <v>35</v>
      </c>
      <c r="I31" s="3"/>
      <c r="J31" s="4"/>
      <c r="K31" s="3"/>
      <c r="L31" s="15"/>
      <c r="N31" s="8"/>
      <c r="O31" s="11"/>
    </row>
    <row r="32" spans="1:15" x14ac:dyDescent="0.25">
      <c r="A32" s="1">
        <v>455</v>
      </c>
      <c r="B32" s="1">
        <v>476.60149999999999</v>
      </c>
      <c r="C32" s="1">
        <v>30.929580000000001</v>
      </c>
      <c r="D32" s="1">
        <v>30.675039999999999</v>
      </c>
      <c r="E32" s="1">
        <v>32</v>
      </c>
      <c r="F32" s="1">
        <v>7.1590000000000001E-2</v>
      </c>
      <c r="G32" s="1">
        <v>9.4E-2</v>
      </c>
      <c r="H32" s="1" t="s">
        <v>44</v>
      </c>
      <c r="I32" s="3" t="s">
        <v>59</v>
      </c>
      <c r="J32" s="4">
        <f>B32+B33</f>
        <v>781.54750000000001</v>
      </c>
      <c r="K32" s="3">
        <f>MAX(E32:E33)</f>
        <v>32</v>
      </c>
      <c r="L32" s="15">
        <f>AVERAGE(F32:G33)</f>
        <v>7.443000000000001E-2</v>
      </c>
      <c r="M32">
        <v>1</v>
      </c>
      <c r="N32" s="9">
        <f t="shared" si="4"/>
        <v>725.34120895833325</v>
      </c>
      <c r="O32" s="11">
        <f t="shared" si="5"/>
        <v>8.9316000000000006E-2</v>
      </c>
    </row>
    <row r="33" spans="1:15" x14ac:dyDescent="0.25">
      <c r="A33" s="1">
        <v>478</v>
      </c>
      <c r="B33" s="1">
        <v>304.94600000000003</v>
      </c>
      <c r="C33" s="1">
        <v>34.232410000000002</v>
      </c>
      <c r="D33" s="1">
        <v>34.644939999999998</v>
      </c>
      <c r="E33" s="1">
        <v>32</v>
      </c>
      <c r="F33" s="1">
        <v>0.10736</v>
      </c>
      <c r="G33" s="1">
        <v>2.477E-2</v>
      </c>
      <c r="H33" s="1" t="s">
        <v>43</v>
      </c>
      <c r="I33" s="3"/>
      <c r="J33" s="4"/>
      <c r="K33" s="3"/>
      <c r="L33" s="15"/>
      <c r="N33" s="8"/>
      <c r="O33" s="11"/>
    </row>
    <row r="34" spans="1:15" x14ac:dyDescent="0.25">
      <c r="A34">
        <v>49317</v>
      </c>
      <c r="B34">
        <v>343.96859999999998</v>
      </c>
      <c r="C34">
        <v>20.52449</v>
      </c>
      <c r="D34">
        <v>20.633019999999998</v>
      </c>
      <c r="E34">
        <v>32</v>
      </c>
      <c r="F34">
        <v>9.4189999999999996E-2</v>
      </c>
      <c r="G34">
        <v>8.4760000000000002E-2</v>
      </c>
      <c r="H34" t="s">
        <v>45</v>
      </c>
      <c r="I34" s="3" t="s">
        <v>71</v>
      </c>
      <c r="J34" s="4">
        <f>B34+B35</f>
        <v>512.99329999999998</v>
      </c>
      <c r="K34" s="3">
        <f>MAX(E34:E35)</f>
        <v>32</v>
      </c>
      <c r="L34" s="15">
        <f>AVERAGE(F34:G35)</f>
        <v>8.7217500000000003E-2</v>
      </c>
      <c r="M34">
        <v>1</v>
      </c>
      <c r="N34" s="9">
        <f t="shared" si="4"/>
        <v>476.10053184166657</v>
      </c>
      <c r="O34" s="11">
        <f t="shared" si="5"/>
        <v>0.104661</v>
      </c>
    </row>
    <row r="35" spans="1:15" x14ac:dyDescent="0.25">
      <c r="A35">
        <v>49896</v>
      </c>
      <c r="B35">
        <v>169.0247</v>
      </c>
      <c r="C35">
        <v>16.698530000000002</v>
      </c>
      <c r="D35">
        <v>16.899989999999999</v>
      </c>
      <c r="E35">
        <v>32</v>
      </c>
      <c r="F35">
        <v>0.10695</v>
      </c>
      <c r="G35">
        <v>6.2969999999999998E-2</v>
      </c>
      <c r="H35" t="s">
        <v>46</v>
      </c>
      <c r="I35" s="3"/>
      <c r="J35" s="4"/>
      <c r="K35" s="3"/>
      <c r="L35" s="15"/>
      <c r="N35" s="8"/>
      <c r="O35" s="11"/>
    </row>
    <row r="36" spans="1:15" x14ac:dyDescent="0.25">
      <c r="A36">
        <v>49318</v>
      </c>
      <c r="B36">
        <v>185.46680000000001</v>
      </c>
      <c r="C36">
        <v>26.373660000000001</v>
      </c>
      <c r="D36">
        <v>26.835080000000001</v>
      </c>
      <c r="E36">
        <v>32</v>
      </c>
      <c r="F36">
        <v>0.10526000000000001</v>
      </c>
      <c r="G36">
        <v>5.5930000000000001E-2</v>
      </c>
      <c r="H36" t="s">
        <v>47</v>
      </c>
      <c r="I36" s="3" t="s">
        <v>68</v>
      </c>
      <c r="J36" s="4">
        <f>B36+B37</f>
        <v>499.62040000000002</v>
      </c>
      <c r="K36" s="3">
        <f>MAX(E36:E37)</f>
        <v>32</v>
      </c>
      <c r="L36" s="15">
        <f>AVERAGE(F36:G37)</f>
        <v>9.0702499999999991E-2</v>
      </c>
      <c r="M36">
        <v>1</v>
      </c>
      <c r="N36" s="9">
        <f t="shared" si="4"/>
        <v>463.68936623333337</v>
      </c>
      <c r="O36" s="11">
        <f t="shared" si="5"/>
        <v>0.10884299999999998</v>
      </c>
    </row>
    <row r="37" spans="1:15" x14ac:dyDescent="0.25">
      <c r="A37">
        <v>49893</v>
      </c>
      <c r="B37">
        <v>314.15359999999998</v>
      </c>
      <c r="C37">
        <v>13.46468</v>
      </c>
      <c r="D37">
        <v>13.60347</v>
      </c>
      <c r="E37">
        <v>32</v>
      </c>
      <c r="F37">
        <v>0.10256</v>
      </c>
      <c r="G37">
        <v>9.9059999999999995E-2</v>
      </c>
      <c r="H37" t="s">
        <v>48</v>
      </c>
      <c r="I37" s="3"/>
      <c r="J37" s="4"/>
      <c r="K37" s="3"/>
      <c r="L37" s="15"/>
      <c r="N37" s="8"/>
      <c r="O37" s="11"/>
    </row>
    <row r="38" spans="1:15" x14ac:dyDescent="0.25">
      <c r="A38">
        <v>48177</v>
      </c>
      <c r="B38">
        <v>65.9876</v>
      </c>
      <c r="C38">
        <v>53.106059999999999</v>
      </c>
      <c r="D38">
        <v>53.288469999999997</v>
      </c>
      <c r="E38">
        <v>50</v>
      </c>
      <c r="F38">
        <v>0</v>
      </c>
      <c r="G38">
        <v>1.8749999999999999E-2</v>
      </c>
      <c r="H38" t="s">
        <v>50</v>
      </c>
      <c r="I38" s="3" t="s">
        <v>72</v>
      </c>
      <c r="J38" s="4">
        <f>B38+B39</f>
        <v>125.17910000000001</v>
      </c>
      <c r="K38" s="3">
        <f>MAX(E38:E39)</f>
        <v>50</v>
      </c>
      <c r="L38" s="15">
        <f>AVERAGE(F38:G39)</f>
        <v>2.1729999999999999E-2</v>
      </c>
      <c r="M38">
        <v>1</v>
      </c>
      <c r="N38" s="9">
        <f t="shared" si="4"/>
        <v>116.17663639166668</v>
      </c>
      <c r="O38" s="11">
        <f t="shared" si="5"/>
        <v>2.6075999999999998E-2</v>
      </c>
    </row>
    <row r="39" spans="1:15" x14ac:dyDescent="0.25">
      <c r="A39">
        <v>48178</v>
      </c>
      <c r="B39">
        <v>59.191499999999998</v>
      </c>
      <c r="C39">
        <v>53.147370000000002</v>
      </c>
      <c r="D39">
        <v>53.550310000000003</v>
      </c>
      <c r="E39">
        <v>50</v>
      </c>
      <c r="F39">
        <v>4.1320000000000003E-2</v>
      </c>
      <c r="G39">
        <v>2.6849999999999999E-2</v>
      </c>
      <c r="H39" t="s">
        <v>49</v>
      </c>
      <c r="I39" s="3"/>
      <c r="J39" s="4"/>
      <c r="K39" s="3"/>
      <c r="L39" s="15"/>
      <c r="N39" s="8"/>
      <c r="O39" s="11"/>
    </row>
    <row r="40" spans="1:15" x14ac:dyDescent="0.25">
      <c r="A40">
        <v>49265</v>
      </c>
      <c r="B40">
        <v>388.03339999999997</v>
      </c>
      <c r="C40">
        <v>27.98695</v>
      </c>
      <c r="D40">
        <v>27.924289999999999</v>
      </c>
      <c r="E40">
        <v>32</v>
      </c>
      <c r="F40">
        <v>0.10439</v>
      </c>
      <c r="G40">
        <v>9.8169999999999993E-2</v>
      </c>
      <c r="H40" t="s">
        <v>40</v>
      </c>
      <c r="I40" s="3" t="s">
        <v>60</v>
      </c>
      <c r="J40" s="4">
        <f>B40+B41</f>
        <v>617.34579999999994</v>
      </c>
      <c r="K40" s="3">
        <f>MAX(E40:E41)</f>
        <v>32</v>
      </c>
      <c r="L40" s="15">
        <f>AVERAGE(F40:G41)</f>
        <v>7.8039999999999998E-2</v>
      </c>
      <c r="M40">
        <v>1</v>
      </c>
      <c r="N40" s="9">
        <f t="shared" si="4"/>
        <v>572.94834788333321</v>
      </c>
      <c r="O40" s="11">
        <f t="shared" si="5"/>
        <v>9.3647999999999995E-2</v>
      </c>
    </row>
    <row r="41" spans="1:15" x14ac:dyDescent="0.25">
      <c r="A41">
        <v>49266</v>
      </c>
      <c r="B41">
        <v>229.3124</v>
      </c>
      <c r="C41">
        <v>29.524229999999999</v>
      </c>
      <c r="D41">
        <v>30.029409999999999</v>
      </c>
      <c r="E41">
        <v>32</v>
      </c>
      <c r="F41">
        <v>8.7059999999999998E-2</v>
      </c>
      <c r="G41">
        <v>2.2540000000000001E-2</v>
      </c>
      <c r="H41" t="s">
        <v>39</v>
      </c>
      <c r="I41" s="3"/>
      <c r="J41" s="4"/>
      <c r="K41" s="3"/>
      <c r="L41" s="15"/>
      <c r="N41" s="8"/>
      <c r="O41" s="11"/>
    </row>
    <row r="42" spans="1:15" x14ac:dyDescent="0.25">
      <c r="A42">
        <v>49267</v>
      </c>
      <c r="B42">
        <v>210.8972</v>
      </c>
      <c r="C42">
        <v>31.808620000000001</v>
      </c>
      <c r="D42">
        <v>31.38598</v>
      </c>
      <c r="E42">
        <v>32</v>
      </c>
      <c r="F42">
        <v>0.13411999999999999</v>
      </c>
      <c r="G42">
        <v>5.5870000000000003E-2</v>
      </c>
      <c r="H42" t="s">
        <v>38</v>
      </c>
      <c r="I42" s="3" t="s">
        <v>61</v>
      </c>
      <c r="J42" s="4">
        <f>B42+B43</f>
        <v>581.83079999999995</v>
      </c>
      <c r="K42" s="3">
        <f>MAX(E42:E43)</f>
        <v>32</v>
      </c>
      <c r="L42" s="15">
        <f>AVERAGE(F42:G43)</f>
        <v>9.3702499999999994E-2</v>
      </c>
      <c r="M42">
        <v>1</v>
      </c>
      <c r="N42" s="9">
        <f t="shared" si="4"/>
        <v>539.98746829999993</v>
      </c>
      <c r="O42" s="11">
        <f t="shared" si="5"/>
        <v>0.11244299999999999</v>
      </c>
    </row>
    <row r="43" spans="1:15" x14ac:dyDescent="0.25">
      <c r="A43">
        <v>49268</v>
      </c>
      <c r="B43">
        <v>370.93360000000001</v>
      </c>
      <c r="C43">
        <v>29.552969999999998</v>
      </c>
      <c r="D43">
        <v>29.509969999999999</v>
      </c>
      <c r="E43">
        <v>32</v>
      </c>
      <c r="F43">
        <v>8.3000000000000004E-2</v>
      </c>
      <c r="G43">
        <v>0.10181999999999999</v>
      </c>
      <c r="H43" t="s">
        <v>37</v>
      </c>
      <c r="I43" s="3"/>
      <c r="J43" s="4"/>
      <c r="K43" s="3"/>
      <c r="L43" s="15"/>
      <c r="N43" s="8"/>
      <c r="O43" s="11"/>
    </row>
    <row r="44" spans="1:15" x14ac:dyDescent="0.25">
      <c r="A44">
        <v>49270</v>
      </c>
      <c r="B44">
        <v>304.72680000000003</v>
      </c>
      <c r="C44">
        <v>25.136579999999999</v>
      </c>
      <c r="D44">
        <v>24.808810000000001</v>
      </c>
      <c r="E44">
        <v>32</v>
      </c>
      <c r="F44">
        <v>7.0559999999999998E-2</v>
      </c>
      <c r="G44">
        <v>0.10067</v>
      </c>
      <c r="H44" t="s">
        <v>41</v>
      </c>
      <c r="I44" s="3" t="s">
        <v>62</v>
      </c>
      <c r="J44" s="4">
        <f>B44+B45</f>
        <v>506.19720000000007</v>
      </c>
      <c r="K44" s="3">
        <f>MAX(E44:E45)</f>
        <v>32</v>
      </c>
      <c r="L44" s="15">
        <f>AVERAGE(F44:G45)</f>
        <v>7.27275E-2</v>
      </c>
      <c r="M44">
        <v>1</v>
      </c>
      <c r="N44" s="9">
        <f t="shared" si="4"/>
        <v>469.79318469999998</v>
      </c>
      <c r="O44" s="11">
        <f t="shared" si="5"/>
        <v>8.7273000000000003E-2</v>
      </c>
    </row>
    <row r="45" spans="1:15" x14ac:dyDescent="0.25">
      <c r="A45">
        <v>49271</v>
      </c>
      <c r="B45">
        <v>201.47040000000001</v>
      </c>
      <c r="C45">
        <v>29.133849999999999</v>
      </c>
      <c r="D45">
        <v>29.124179999999999</v>
      </c>
      <c r="E45">
        <v>32</v>
      </c>
      <c r="F45">
        <v>7.6740000000000003E-2</v>
      </c>
      <c r="G45">
        <v>4.2939999999999999E-2</v>
      </c>
      <c r="H45" t="s">
        <v>42</v>
      </c>
      <c r="I45" s="3"/>
      <c r="J45" s="4"/>
      <c r="K45" s="3"/>
      <c r="L45" s="15"/>
      <c r="N45" s="8"/>
      <c r="O45" s="11"/>
    </row>
    <row r="46" spans="1:15" x14ac:dyDescent="0.25">
      <c r="A46">
        <v>49902</v>
      </c>
      <c r="B46">
        <v>49.984000000000002</v>
      </c>
      <c r="C46">
        <v>31.885200000000001</v>
      </c>
      <c r="D46">
        <v>32.945480000000003</v>
      </c>
      <c r="E46">
        <v>32</v>
      </c>
      <c r="F46">
        <v>0.11111</v>
      </c>
      <c r="G46">
        <v>4.6510000000000003E-2</v>
      </c>
      <c r="H46" t="s">
        <v>32</v>
      </c>
      <c r="I46" s="3" t="s">
        <v>73</v>
      </c>
      <c r="J46" s="4">
        <f>B46+B47</f>
        <v>64.014600000000002</v>
      </c>
      <c r="K46" s="3">
        <f>MAX(E46:E47)</f>
        <v>32</v>
      </c>
      <c r="L46" s="15">
        <f>AVERAGE(F46:G47)</f>
        <v>0.19556250000000003</v>
      </c>
      <c r="M46">
        <v>1</v>
      </c>
      <c r="N46" s="9">
        <f t="shared" si="4"/>
        <v>59.410883349999999</v>
      </c>
      <c r="O46" s="11">
        <f t="shared" si="5"/>
        <v>0.23467500000000002</v>
      </c>
    </row>
    <row r="47" spans="1:15" x14ac:dyDescent="0.25">
      <c r="A47">
        <v>49892</v>
      </c>
      <c r="B47">
        <v>14.0306</v>
      </c>
      <c r="C47">
        <v>20.21115</v>
      </c>
      <c r="D47">
        <v>21.637070000000001</v>
      </c>
      <c r="E47">
        <v>32</v>
      </c>
      <c r="F47">
        <v>0.31034</v>
      </c>
      <c r="G47">
        <v>0.31429000000000001</v>
      </c>
      <c r="H47" t="s">
        <v>31</v>
      </c>
      <c r="I47" s="3"/>
      <c r="J47" s="4"/>
      <c r="K47" s="3"/>
      <c r="L47" s="15"/>
      <c r="N47" s="8"/>
      <c r="O47" s="11"/>
    </row>
    <row r="48" spans="1:15" x14ac:dyDescent="0.25">
      <c r="A48">
        <v>49903</v>
      </c>
      <c r="B48">
        <v>9.2075999999999993</v>
      </c>
      <c r="C48">
        <v>31.194520000000001</v>
      </c>
      <c r="D48">
        <v>31.830190000000002</v>
      </c>
      <c r="E48">
        <v>32</v>
      </c>
      <c r="F48">
        <v>0</v>
      </c>
      <c r="G48">
        <v>0</v>
      </c>
      <c r="H48" t="s">
        <v>34</v>
      </c>
      <c r="I48" s="3" t="s">
        <v>74</v>
      </c>
      <c r="J48" s="4">
        <f>B48+B49</f>
        <v>29.157299999999999</v>
      </c>
      <c r="K48" s="3">
        <f>MAX(E48:E49)</f>
        <v>32</v>
      </c>
      <c r="L48" s="15">
        <f>AVERAGE(F48:G49)</f>
        <v>0</v>
      </c>
      <c r="M48">
        <v>1</v>
      </c>
      <c r="N48" s="9">
        <f t="shared" si="4"/>
        <v>27.060404174999995</v>
      </c>
      <c r="O48" s="11">
        <f t="shared" si="5"/>
        <v>0</v>
      </c>
    </row>
    <row r="49" spans="1:8" x14ac:dyDescent="0.25">
      <c r="A49">
        <v>49899</v>
      </c>
      <c r="B49">
        <v>19.9497</v>
      </c>
      <c r="C49">
        <v>32.827930000000002</v>
      </c>
      <c r="D49">
        <v>33.713479999999997</v>
      </c>
      <c r="E49">
        <v>32</v>
      </c>
      <c r="F49">
        <v>0</v>
      </c>
      <c r="G49">
        <v>0</v>
      </c>
      <c r="H49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8F3AA-A9D6-44D5-BAB2-BACF0449B2AD}">
  <sheetPr codeName="Sheet7">
    <tabColor theme="8"/>
  </sheetPr>
  <dimension ref="A1:R57"/>
  <sheetViews>
    <sheetView topLeftCell="C31" workbookViewId="0">
      <selection activeCell="S59" sqref="S59"/>
    </sheetView>
  </sheetViews>
  <sheetFormatPr defaultRowHeight="15" x14ac:dyDescent="0.25"/>
  <cols>
    <col min="1" max="1" width="7" bestFit="1" customWidth="1"/>
    <col min="2" max="2" width="32.85546875" customWidth="1"/>
    <col min="3" max="3" width="11.42578125" bestFit="1" customWidth="1"/>
    <col min="4" max="4" width="11.28515625" bestFit="1" customWidth="1"/>
    <col min="5" max="5" width="10.7109375" bestFit="1" customWidth="1"/>
    <col min="6" max="6" width="10.28515625" bestFit="1" customWidth="1"/>
    <col min="7" max="7" width="10.140625" bestFit="1" customWidth="1"/>
    <col min="8" max="8" width="27.5703125" bestFit="1" customWidth="1"/>
    <col min="9" max="9" width="27.28515625" bestFit="1" customWidth="1"/>
    <col min="10" max="10" width="9.140625" customWidth="1"/>
    <col min="11" max="11" width="16.5703125" bestFit="1" customWidth="1"/>
    <col min="12" max="12" width="27.28515625" customWidth="1"/>
    <col min="13" max="13" width="13" customWidth="1"/>
    <col min="14" max="14" width="17.28515625" hidden="1" customWidth="1"/>
    <col min="15" max="15" width="15.140625" style="15" hidden="1" customWidth="1"/>
    <col min="16" max="16" width="18.28515625" customWidth="1"/>
    <col min="17" max="17" width="19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8"/>
      <c r="J1" s="8" t="s">
        <v>1</v>
      </c>
      <c r="K1" s="8" t="s">
        <v>69</v>
      </c>
      <c r="L1" s="8" t="s">
        <v>63</v>
      </c>
      <c r="M1" s="8" t="s">
        <v>75</v>
      </c>
      <c r="N1" s="8" t="s">
        <v>78</v>
      </c>
      <c r="O1" s="11" t="s">
        <v>77</v>
      </c>
      <c r="P1" s="8" t="s">
        <v>79</v>
      </c>
      <c r="Q1" s="8" t="s">
        <v>80</v>
      </c>
    </row>
    <row r="2" spans="1:17" x14ac:dyDescent="0.25">
      <c r="A2">
        <v>504</v>
      </c>
      <c r="B2">
        <v>28843.645499999999</v>
      </c>
      <c r="C2">
        <v>97.65746</v>
      </c>
      <c r="D2">
        <v>97.901520000000005</v>
      </c>
      <c r="E2">
        <v>120</v>
      </c>
      <c r="F2">
        <v>0.1002</v>
      </c>
      <c r="G2">
        <v>5.552E-2</v>
      </c>
      <c r="H2" t="s">
        <v>12</v>
      </c>
      <c r="I2" s="3" t="s">
        <v>12</v>
      </c>
      <c r="J2" s="3">
        <f t="shared" ref="J2:J7" si="0">B2</f>
        <v>28843.645499999999</v>
      </c>
      <c r="K2" s="3">
        <f t="shared" ref="K2:K7" si="1">E2</f>
        <v>120</v>
      </c>
      <c r="L2" s="3">
        <f t="shared" ref="L2:L7" si="2">AVERAGE(F2:G2)</f>
        <v>7.7859999999999999E-2</v>
      </c>
      <c r="M2" s="3">
        <v>3</v>
      </c>
      <c r="N2" s="4">
        <f>AADT2AAWT(M2,J2)</f>
        <v>26883.239060849999</v>
      </c>
      <c r="O2" s="14">
        <f>HGVWeekday(L2)</f>
        <v>9.3432000000000001E-2</v>
      </c>
      <c r="P2" s="3">
        <v>1.19</v>
      </c>
      <c r="Q2" s="4">
        <f>N2/$P$2</f>
        <v>22590.957193991599</v>
      </c>
    </row>
    <row r="3" spans="1:17" x14ac:dyDescent="0.25">
      <c r="A3">
        <v>48032</v>
      </c>
      <c r="B3">
        <v>35016.71</v>
      </c>
      <c r="C3">
        <v>97.806160000000006</v>
      </c>
      <c r="D3">
        <v>100.37345999999999</v>
      </c>
      <c r="E3">
        <v>120</v>
      </c>
      <c r="F3">
        <v>7.2120000000000004E-2</v>
      </c>
      <c r="G3">
        <v>5.2540000000000003E-2</v>
      </c>
      <c r="H3" t="s">
        <v>11</v>
      </c>
      <c r="I3" s="3" t="s">
        <v>11</v>
      </c>
      <c r="J3" s="3">
        <f t="shared" si="0"/>
        <v>35016.71</v>
      </c>
      <c r="K3" s="3">
        <f t="shared" si="1"/>
        <v>120</v>
      </c>
      <c r="L3" s="3">
        <f t="shared" si="2"/>
        <v>6.2330000000000003E-2</v>
      </c>
      <c r="M3" s="3">
        <v>3</v>
      </c>
      <c r="N3" s="4">
        <f t="shared" ref="N3:N48" si="3">AADT2AAWT(M3,J3)</f>
        <v>32636.740943666664</v>
      </c>
      <c r="O3" s="14">
        <f t="shared" ref="O3:O48" si="4">HGVWeekday(L3)</f>
        <v>7.4796000000000001E-2</v>
      </c>
      <c r="P3" s="3"/>
      <c r="Q3" s="4">
        <f t="shared" ref="Q3:Q53" si="5">N3/$P$2</f>
        <v>27425.832725770306</v>
      </c>
    </row>
    <row r="4" spans="1:17" x14ac:dyDescent="0.25">
      <c r="A4">
        <v>47938</v>
      </c>
      <c r="B4">
        <v>36125.19</v>
      </c>
      <c r="C4">
        <v>97.865600000000001</v>
      </c>
      <c r="D4">
        <v>100.59486</v>
      </c>
      <c r="E4">
        <v>120</v>
      </c>
      <c r="F4">
        <v>6.966E-2</v>
      </c>
      <c r="G4">
        <v>5.0810000000000001E-2</v>
      </c>
      <c r="H4" t="s">
        <v>7</v>
      </c>
      <c r="I4" s="3" t="s">
        <v>7</v>
      </c>
      <c r="J4" s="3">
        <f t="shared" si="0"/>
        <v>36125.19</v>
      </c>
      <c r="K4" s="3">
        <f t="shared" si="1"/>
        <v>120</v>
      </c>
      <c r="L4" s="3">
        <f t="shared" si="2"/>
        <v>6.0234999999999997E-2</v>
      </c>
      <c r="M4" s="3">
        <v>3</v>
      </c>
      <c r="N4" s="4">
        <f t="shared" si="3"/>
        <v>33669.881253</v>
      </c>
      <c r="O4" s="14">
        <f t="shared" si="4"/>
        <v>7.2281999999999999E-2</v>
      </c>
      <c r="P4" s="3"/>
      <c r="Q4" s="4">
        <f t="shared" si="5"/>
        <v>28294.017859663865</v>
      </c>
    </row>
    <row r="5" spans="1:17" x14ac:dyDescent="0.25">
      <c r="A5">
        <v>48042</v>
      </c>
      <c r="B5">
        <v>28844.0785</v>
      </c>
      <c r="C5">
        <v>97.988939999999999</v>
      </c>
      <c r="D5">
        <v>96.762349999999998</v>
      </c>
      <c r="E5">
        <v>120</v>
      </c>
      <c r="F5">
        <v>0.10051</v>
      </c>
      <c r="G5">
        <v>5.5739999999999998E-2</v>
      </c>
      <c r="H5" t="s">
        <v>8</v>
      </c>
      <c r="I5" s="3" t="s">
        <v>8</v>
      </c>
      <c r="J5" s="3">
        <f t="shared" si="0"/>
        <v>28844.0785</v>
      </c>
      <c r="K5" s="3">
        <f t="shared" si="1"/>
        <v>120</v>
      </c>
      <c r="L5" s="3">
        <f t="shared" si="2"/>
        <v>7.8125E-2</v>
      </c>
      <c r="M5" s="3">
        <v>3</v>
      </c>
      <c r="N5" s="4">
        <f t="shared" si="3"/>
        <v>26883.642631283328</v>
      </c>
      <c r="O5" s="14">
        <f t="shared" si="4"/>
        <v>9.375E-2</v>
      </c>
      <c r="P5" s="3"/>
      <c r="Q5" s="4">
        <f t="shared" si="5"/>
        <v>22591.29632880952</v>
      </c>
    </row>
    <row r="6" spans="1:17" x14ac:dyDescent="0.25">
      <c r="A6">
        <v>47939</v>
      </c>
      <c r="B6">
        <v>28977.659</v>
      </c>
      <c r="C6">
        <v>99.023929999999993</v>
      </c>
      <c r="D6">
        <v>98.762100000000004</v>
      </c>
      <c r="E6">
        <v>120</v>
      </c>
      <c r="F6">
        <v>0.10074</v>
      </c>
      <c r="G6">
        <v>5.5690000000000003E-2</v>
      </c>
      <c r="H6" t="s">
        <v>10</v>
      </c>
      <c r="I6" s="3" t="s">
        <v>10</v>
      </c>
      <c r="J6" s="3">
        <f t="shared" si="0"/>
        <v>28977.659</v>
      </c>
      <c r="K6" s="3">
        <f t="shared" si="1"/>
        <v>120</v>
      </c>
      <c r="L6" s="3">
        <f t="shared" si="2"/>
        <v>7.8215000000000007E-2</v>
      </c>
      <c r="M6" s="3">
        <v>3</v>
      </c>
      <c r="N6" s="4">
        <f t="shared" si="3"/>
        <v>27008.144109966663</v>
      </c>
      <c r="O6" s="14">
        <f t="shared" si="4"/>
        <v>9.3858000000000011E-2</v>
      </c>
      <c r="P6" s="3"/>
      <c r="Q6" s="4">
        <f t="shared" si="5"/>
        <v>22695.919420140053</v>
      </c>
    </row>
    <row r="7" spans="1:17" x14ac:dyDescent="0.25">
      <c r="A7">
        <v>48061</v>
      </c>
      <c r="B7">
        <v>35997.238499999999</v>
      </c>
      <c r="C7">
        <v>97.60472</v>
      </c>
      <c r="D7">
        <v>100.48730999999999</v>
      </c>
      <c r="E7">
        <v>120</v>
      </c>
      <c r="F7">
        <v>6.9540000000000005E-2</v>
      </c>
      <c r="G7">
        <v>5.0770000000000003E-2</v>
      </c>
      <c r="H7" t="s">
        <v>9</v>
      </c>
      <c r="I7" s="3" t="s">
        <v>9</v>
      </c>
      <c r="J7" s="3">
        <f t="shared" si="0"/>
        <v>35997.238499999999</v>
      </c>
      <c r="K7" s="3">
        <f t="shared" si="1"/>
        <v>120</v>
      </c>
      <c r="L7" s="3">
        <f t="shared" si="2"/>
        <v>6.0155E-2</v>
      </c>
      <c r="M7" s="3">
        <v>3</v>
      </c>
      <c r="N7" s="4">
        <f t="shared" si="3"/>
        <v>33550.626189949995</v>
      </c>
      <c r="O7" s="14">
        <f t="shared" si="4"/>
        <v>7.2186E-2</v>
      </c>
      <c r="P7" s="3"/>
      <c r="Q7" s="4">
        <f t="shared" si="5"/>
        <v>28193.803520966383</v>
      </c>
    </row>
    <row r="8" spans="1:17" x14ac:dyDescent="0.25">
      <c r="A8">
        <v>49272</v>
      </c>
      <c r="B8">
        <v>456.16550000000001</v>
      </c>
      <c r="C8">
        <v>42.235390000000002</v>
      </c>
      <c r="D8">
        <v>42.391289999999998</v>
      </c>
      <c r="E8">
        <v>50</v>
      </c>
      <c r="F8">
        <v>8.0420000000000005E-2</v>
      </c>
      <c r="G8">
        <v>5.7140000000000003E-2</v>
      </c>
      <c r="H8" t="s">
        <v>14</v>
      </c>
      <c r="I8" s="3" t="s">
        <v>64</v>
      </c>
      <c r="J8" s="3">
        <f>B8+B9</f>
        <v>1063.4480000000001</v>
      </c>
      <c r="K8" s="3">
        <f>MAX(E8:E9)</f>
        <v>50</v>
      </c>
      <c r="L8" s="3">
        <f>AVERAGE(F8:G9)</f>
        <v>6.5805000000000002E-2</v>
      </c>
      <c r="M8" s="3">
        <v>1</v>
      </c>
      <c r="N8" s="4">
        <f t="shared" si="3"/>
        <v>986.96836466666673</v>
      </c>
      <c r="O8" s="14">
        <f t="shared" si="4"/>
        <v>7.8965999999999995E-2</v>
      </c>
      <c r="P8" s="3"/>
      <c r="Q8" s="4">
        <f t="shared" si="5"/>
        <v>829.38518039215694</v>
      </c>
    </row>
    <row r="9" spans="1:17" x14ac:dyDescent="0.25">
      <c r="A9">
        <v>300906</v>
      </c>
      <c r="B9">
        <v>607.28250000000003</v>
      </c>
      <c r="C9">
        <v>37.93412</v>
      </c>
      <c r="D9">
        <v>36.858580000000003</v>
      </c>
      <c r="E9">
        <v>50</v>
      </c>
      <c r="F9">
        <v>7.9729999999999995E-2</v>
      </c>
      <c r="G9">
        <v>4.5929999999999999E-2</v>
      </c>
      <c r="H9" t="s">
        <v>13</v>
      </c>
      <c r="I9" s="3"/>
      <c r="J9" s="3"/>
      <c r="K9" s="3"/>
      <c r="L9" s="3"/>
      <c r="M9" s="3"/>
      <c r="N9" s="3"/>
      <c r="O9" s="14"/>
      <c r="P9" s="3"/>
      <c r="Q9" s="4"/>
    </row>
    <row r="10" spans="1:17" x14ac:dyDescent="0.25">
      <c r="A10">
        <v>49278</v>
      </c>
      <c r="B10">
        <v>337.52350000000001</v>
      </c>
      <c r="C10">
        <v>29.186109999999999</v>
      </c>
      <c r="D10">
        <v>28.954360000000001</v>
      </c>
      <c r="E10">
        <v>32</v>
      </c>
      <c r="F10">
        <v>9.7710000000000005E-2</v>
      </c>
      <c r="G10">
        <v>3.8359999999999998E-2</v>
      </c>
      <c r="H10" t="s">
        <v>16</v>
      </c>
      <c r="I10" s="3" t="s">
        <v>66</v>
      </c>
      <c r="J10" s="3">
        <f>B10+B11</f>
        <v>615.726</v>
      </c>
      <c r="K10" s="3">
        <f>MAX(E10:E11)</f>
        <v>32</v>
      </c>
      <c r="L10" s="3">
        <f>AVERAGE(F10:G11)</f>
        <v>6.5617499999999995E-2</v>
      </c>
      <c r="M10" s="3">
        <v>1</v>
      </c>
      <c r="N10" s="4">
        <f t="shared" si="3"/>
        <v>571.4450384999999</v>
      </c>
      <c r="O10" s="14">
        <f t="shared" si="4"/>
        <v>7.8740999999999992E-2</v>
      </c>
      <c r="P10" s="3"/>
      <c r="Q10" s="4">
        <f t="shared" si="5"/>
        <v>480.20591470588226</v>
      </c>
    </row>
    <row r="11" spans="1:17" x14ac:dyDescent="0.25">
      <c r="A11">
        <v>49294</v>
      </c>
      <c r="B11">
        <v>278.20249999999999</v>
      </c>
      <c r="C11">
        <v>31.034020000000002</v>
      </c>
      <c r="D11">
        <v>31.336760000000002</v>
      </c>
      <c r="E11">
        <v>32</v>
      </c>
      <c r="F11">
        <v>7.7170000000000002E-2</v>
      </c>
      <c r="G11">
        <v>4.9230000000000003E-2</v>
      </c>
      <c r="H11" t="s">
        <v>15</v>
      </c>
      <c r="I11" s="3"/>
      <c r="J11" s="3"/>
      <c r="K11" s="3"/>
      <c r="L11" s="3"/>
      <c r="M11" s="3"/>
      <c r="N11" s="3"/>
      <c r="O11" s="14"/>
      <c r="P11" s="3"/>
      <c r="Q11" s="4"/>
    </row>
    <row r="12" spans="1:17" x14ac:dyDescent="0.25">
      <c r="A12">
        <v>49291</v>
      </c>
      <c r="B12">
        <v>79.455500000000001</v>
      </c>
      <c r="C12">
        <v>32.861139999999999</v>
      </c>
      <c r="D12">
        <v>33.320970000000003</v>
      </c>
      <c r="E12">
        <v>32</v>
      </c>
      <c r="F12">
        <v>0.21739</v>
      </c>
      <c r="G12">
        <v>8.1250000000000003E-2</v>
      </c>
      <c r="H12" t="s">
        <v>18</v>
      </c>
      <c r="I12" s="3" t="s">
        <v>67</v>
      </c>
      <c r="J12" s="3">
        <f>B12+B13</f>
        <v>116.91</v>
      </c>
      <c r="K12" s="3">
        <f>MAX(E12:E13)</f>
        <v>32</v>
      </c>
      <c r="L12" s="3">
        <f>AVERAGE(F12:G13)</f>
        <v>0.1923425</v>
      </c>
      <c r="M12" s="3">
        <v>1</v>
      </c>
      <c r="N12" s="4">
        <f t="shared" si="3"/>
        <v>108.5022225</v>
      </c>
      <c r="O12" s="14">
        <f t="shared" si="4"/>
        <v>0.23081099999999999</v>
      </c>
      <c r="P12" s="3"/>
      <c r="Q12" s="4">
        <f t="shared" si="5"/>
        <v>91.17833823529412</v>
      </c>
    </row>
    <row r="13" spans="1:17" x14ac:dyDescent="0.25">
      <c r="A13">
        <v>49304</v>
      </c>
      <c r="B13">
        <v>37.454500000000003</v>
      </c>
      <c r="C13">
        <v>33.421460000000003</v>
      </c>
      <c r="D13">
        <v>32.979939999999999</v>
      </c>
      <c r="E13">
        <v>32</v>
      </c>
      <c r="F13">
        <v>0.17072999999999999</v>
      </c>
      <c r="G13">
        <v>0.3</v>
      </c>
      <c r="H13" t="s">
        <v>17</v>
      </c>
      <c r="I13" s="3"/>
      <c r="J13" s="3"/>
      <c r="K13" s="3"/>
      <c r="L13" s="3"/>
      <c r="M13" s="3"/>
      <c r="N13" s="3"/>
      <c r="O13" s="14"/>
      <c r="P13" s="3"/>
      <c r="Q13" s="4"/>
    </row>
    <row r="14" spans="1:17" x14ac:dyDescent="0.25">
      <c r="A14">
        <v>5658</v>
      </c>
      <c r="B14">
        <v>262.18150000000003</v>
      </c>
      <c r="C14">
        <v>26.59789</v>
      </c>
      <c r="D14">
        <v>26.605049999999999</v>
      </c>
      <c r="E14">
        <v>32</v>
      </c>
      <c r="F14">
        <v>5.5840000000000001E-2</v>
      </c>
      <c r="G14">
        <v>2.581E-2</v>
      </c>
      <c r="H14" t="s">
        <v>19</v>
      </c>
      <c r="I14" s="3" t="s">
        <v>65</v>
      </c>
      <c r="J14" s="3">
        <f>B14+B15</f>
        <v>478.46500000000003</v>
      </c>
      <c r="K14" s="3">
        <f>MAX(E14:E15)</f>
        <v>32</v>
      </c>
      <c r="L14" s="3">
        <f>AVERAGE(F14:G15)</f>
        <v>5.67275E-2</v>
      </c>
      <c r="M14" s="3">
        <v>1</v>
      </c>
      <c r="N14" s="4">
        <f t="shared" si="3"/>
        <v>444.05539208333334</v>
      </c>
      <c r="O14" s="14">
        <f t="shared" si="4"/>
        <v>6.8072999999999995E-2</v>
      </c>
      <c r="P14" s="3"/>
      <c r="Q14" s="4">
        <f t="shared" si="5"/>
        <v>373.15579166666669</v>
      </c>
    </row>
    <row r="15" spans="1:17" x14ac:dyDescent="0.25">
      <c r="A15">
        <v>49307</v>
      </c>
      <c r="B15">
        <v>216.2835</v>
      </c>
      <c r="C15">
        <v>32.953780000000002</v>
      </c>
      <c r="D15">
        <v>33.122590000000002</v>
      </c>
      <c r="E15">
        <v>32</v>
      </c>
      <c r="F15">
        <v>9.0910000000000005E-2</v>
      </c>
      <c r="G15">
        <v>5.4350000000000002E-2</v>
      </c>
      <c r="H15" t="s">
        <v>20</v>
      </c>
      <c r="I15" s="3"/>
      <c r="J15" s="3"/>
      <c r="K15" s="3"/>
      <c r="L15" s="3"/>
      <c r="M15" s="3"/>
      <c r="N15" s="3"/>
      <c r="O15" s="14"/>
      <c r="P15" s="3"/>
      <c r="Q15" s="4"/>
    </row>
    <row r="16" spans="1:17" x14ac:dyDescent="0.25">
      <c r="A16">
        <v>4843</v>
      </c>
      <c r="B16">
        <v>88.981499999999997</v>
      </c>
      <c r="C16">
        <v>52.511650000000003</v>
      </c>
      <c r="D16">
        <v>52.436329999999998</v>
      </c>
      <c r="E16">
        <v>50</v>
      </c>
      <c r="F16">
        <v>8.6580000000000004E-2</v>
      </c>
      <c r="G16">
        <v>8.3330000000000001E-2</v>
      </c>
      <c r="H16" t="s">
        <v>22</v>
      </c>
      <c r="I16" s="3" t="s">
        <v>93</v>
      </c>
      <c r="J16" s="3">
        <f>B16+B17</f>
        <v>88.981499999999997</v>
      </c>
      <c r="K16" s="3">
        <f>MAX(E16:E17)</f>
        <v>50</v>
      </c>
      <c r="L16" s="3">
        <f>AVERAGE(F16:G17)</f>
        <v>4.2477500000000001E-2</v>
      </c>
      <c r="M16" s="3">
        <v>1</v>
      </c>
      <c r="N16" s="4">
        <f t="shared" si="3"/>
        <v>82.582247124999981</v>
      </c>
      <c r="O16" s="14">
        <f t="shared" si="4"/>
        <v>5.0972999999999997E-2</v>
      </c>
      <c r="P16" s="3"/>
      <c r="Q16" s="4">
        <f t="shared" si="5"/>
        <v>69.396846323529402</v>
      </c>
    </row>
    <row r="17" spans="1:17" x14ac:dyDescent="0.25">
      <c r="A17">
        <v>47962</v>
      </c>
      <c r="B17">
        <v>0</v>
      </c>
      <c r="C17">
        <v>-1</v>
      </c>
      <c r="D17">
        <v>-1</v>
      </c>
      <c r="E17">
        <v>50</v>
      </c>
      <c r="F17">
        <v>0</v>
      </c>
      <c r="G17">
        <v>0</v>
      </c>
      <c r="H17" t="s">
        <v>21</v>
      </c>
      <c r="I17" s="3"/>
      <c r="J17" s="3"/>
      <c r="K17" s="3"/>
      <c r="L17" s="3"/>
      <c r="M17" s="3"/>
      <c r="N17" s="3"/>
      <c r="O17" s="14"/>
      <c r="P17" s="3"/>
      <c r="Q17" s="4"/>
    </row>
    <row r="18" spans="1:17" x14ac:dyDescent="0.25">
      <c r="A18">
        <v>3097</v>
      </c>
      <c r="B18">
        <v>215.20099999999999</v>
      </c>
      <c r="C18">
        <v>44.627740000000003</v>
      </c>
      <c r="D18">
        <v>45.974040000000002</v>
      </c>
      <c r="E18">
        <v>50</v>
      </c>
      <c r="F18">
        <v>9.5509999999999998E-2</v>
      </c>
      <c r="G18">
        <v>5.8700000000000002E-2</v>
      </c>
      <c r="H18" t="s">
        <v>23</v>
      </c>
      <c r="I18" s="3" t="s">
        <v>94</v>
      </c>
      <c r="J18" s="3">
        <f>B18+B19</f>
        <v>585.63250000000005</v>
      </c>
      <c r="K18" s="3">
        <f>MAX(E18:E19)</f>
        <v>50</v>
      </c>
      <c r="L18" s="3">
        <f>AVERAGE(F18:G19)</f>
        <v>6.7615000000000008E-2</v>
      </c>
      <c r="M18" s="3">
        <v>1</v>
      </c>
      <c r="N18" s="4">
        <f t="shared" si="3"/>
        <v>543.51576270833334</v>
      </c>
      <c r="O18" s="14">
        <f t="shared" si="4"/>
        <v>8.1138000000000002E-2</v>
      </c>
      <c r="P18" s="3"/>
      <c r="Q18" s="4">
        <f t="shared" si="5"/>
        <v>456.73593504901964</v>
      </c>
    </row>
    <row r="19" spans="1:17" x14ac:dyDescent="0.25">
      <c r="A19">
        <v>48211</v>
      </c>
      <c r="B19">
        <v>370.43150000000003</v>
      </c>
      <c r="C19">
        <v>38.626649999999998</v>
      </c>
      <c r="D19">
        <v>38.821680000000001</v>
      </c>
      <c r="E19">
        <v>50</v>
      </c>
      <c r="F19">
        <v>7.3719999999999994E-2</v>
      </c>
      <c r="G19">
        <v>4.2529999999999998E-2</v>
      </c>
      <c r="H19" t="s">
        <v>24</v>
      </c>
      <c r="I19" s="3"/>
      <c r="J19" s="3"/>
      <c r="K19" s="3"/>
      <c r="L19" s="3"/>
      <c r="M19" s="3"/>
      <c r="N19" s="3"/>
      <c r="O19" s="14"/>
      <c r="P19" s="3"/>
      <c r="Q19" s="4"/>
    </row>
    <row r="20" spans="1:17" x14ac:dyDescent="0.25">
      <c r="A20">
        <v>43145</v>
      </c>
      <c r="B20">
        <v>586.49850000000004</v>
      </c>
      <c r="C20">
        <v>48.840490000000003</v>
      </c>
      <c r="D20">
        <v>49.057490000000001</v>
      </c>
      <c r="E20">
        <v>50</v>
      </c>
      <c r="F20">
        <v>5.7290000000000001E-2</v>
      </c>
      <c r="G20">
        <v>3.3079999999999998E-2</v>
      </c>
      <c r="H20" t="s">
        <v>26</v>
      </c>
      <c r="I20" s="3" t="s">
        <v>90</v>
      </c>
      <c r="J20" s="3">
        <f>B20+B21</f>
        <v>1620.2860000000001</v>
      </c>
      <c r="K20" s="3">
        <f>MAX(E20:E21)</f>
        <v>50</v>
      </c>
      <c r="L20" s="3">
        <f>AVERAGE(F20:G21)</f>
        <v>4.5647500000000001E-2</v>
      </c>
      <c r="M20" s="3">
        <v>1</v>
      </c>
      <c r="N20" s="4">
        <f t="shared" si="3"/>
        <v>1503.7604318333333</v>
      </c>
      <c r="O20" s="14">
        <f t="shared" si="4"/>
        <v>5.4776999999999999E-2</v>
      </c>
      <c r="P20" s="3"/>
      <c r="Q20" s="4">
        <f t="shared" si="5"/>
        <v>1263.6642284313725</v>
      </c>
    </row>
    <row r="21" spans="1:17" x14ac:dyDescent="0.25">
      <c r="A21">
        <v>49907</v>
      </c>
      <c r="B21">
        <v>1033.7874999999999</v>
      </c>
      <c r="C21">
        <v>44.172539999999998</v>
      </c>
      <c r="D21">
        <v>45.05283</v>
      </c>
      <c r="E21">
        <v>50</v>
      </c>
      <c r="F21">
        <v>5.3469999999999997E-2</v>
      </c>
      <c r="G21">
        <v>3.875E-2</v>
      </c>
      <c r="H21" t="s">
        <v>25</v>
      </c>
      <c r="I21" s="3"/>
      <c r="J21" s="3"/>
      <c r="K21" s="3"/>
      <c r="L21" s="3"/>
      <c r="M21" s="3"/>
      <c r="N21" s="3"/>
      <c r="O21" s="14"/>
      <c r="P21" s="3"/>
      <c r="Q21" s="4"/>
    </row>
    <row r="22" spans="1:17" x14ac:dyDescent="0.25">
      <c r="A22">
        <v>5661</v>
      </c>
      <c r="B22">
        <v>1037.9010000000001</v>
      </c>
      <c r="C22">
        <v>51.087820000000001</v>
      </c>
      <c r="D22">
        <v>50.656300000000002</v>
      </c>
      <c r="E22">
        <v>50</v>
      </c>
      <c r="F22">
        <v>5.3080000000000002E-2</v>
      </c>
      <c r="G22">
        <v>3.8429999999999999E-2</v>
      </c>
      <c r="H22" t="s">
        <v>28</v>
      </c>
      <c r="I22" s="3" t="s">
        <v>91</v>
      </c>
      <c r="J22" s="3">
        <f>B22+B23</f>
        <v>1627.4304999999999</v>
      </c>
      <c r="K22" s="3">
        <f>MAX(E22:E23)</f>
        <v>50</v>
      </c>
      <c r="L22" s="3">
        <f>AVERAGE(F22:G23)</f>
        <v>4.5325000000000004E-2</v>
      </c>
      <c r="M22" s="3">
        <v>1</v>
      </c>
      <c r="N22" s="4">
        <f t="shared" si="3"/>
        <v>1510.3911232083333</v>
      </c>
      <c r="O22" s="14">
        <f t="shared" si="4"/>
        <v>5.4390000000000001E-2</v>
      </c>
      <c r="P22" s="3"/>
      <c r="Q22" s="4">
        <f t="shared" si="5"/>
        <v>1269.2362379901961</v>
      </c>
    </row>
    <row r="23" spans="1:17" x14ac:dyDescent="0.25">
      <c r="A23">
        <v>49904</v>
      </c>
      <c r="B23">
        <v>589.52949999999998</v>
      </c>
      <c r="C23">
        <v>51.774560000000001</v>
      </c>
      <c r="D23">
        <v>52.065710000000003</v>
      </c>
      <c r="E23">
        <v>50</v>
      </c>
      <c r="F23">
        <v>5.6710000000000003E-2</v>
      </c>
      <c r="G23">
        <v>3.3079999999999998E-2</v>
      </c>
      <c r="H23" t="s">
        <v>27</v>
      </c>
      <c r="I23" s="3"/>
      <c r="J23" s="3"/>
      <c r="K23" s="3"/>
      <c r="L23" s="3"/>
      <c r="M23" s="3"/>
      <c r="N23" s="3"/>
      <c r="O23" s="14"/>
      <c r="P23" s="3"/>
      <c r="Q23" s="4"/>
    </row>
    <row r="24" spans="1:17" x14ac:dyDescent="0.25">
      <c r="A24">
        <v>5660</v>
      </c>
      <c r="B24">
        <v>4198.5844999999999</v>
      </c>
      <c r="C24">
        <v>66.054950000000005</v>
      </c>
      <c r="D24">
        <v>66.587010000000006</v>
      </c>
      <c r="E24">
        <v>64</v>
      </c>
      <c r="F24">
        <v>1.2710000000000001E-2</v>
      </c>
      <c r="G24">
        <v>7.4700000000000001E-3</v>
      </c>
      <c r="H24" t="s">
        <v>29</v>
      </c>
      <c r="I24" s="3" t="s">
        <v>92</v>
      </c>
      <c r="J24" s="3">
        <f>B24+B25</f>
        <v>7972.3959999999997</v>
      </c>
      <c r="K24" s="3">
        <f>MAX(E24:E25)</f>
        <v>64</v>
      </c>
      <c r="L24" s="3">
        <f>AVERAGE(F24:G25)</f>
        <v>1.7155E-2</v>
      </c>
      <c r="M24" s="3">
        <v>1</v>
      </c>
      <c r="N24" s="4">
        <f t="shared" si="3"/>
        <v>7399.047854333332</v>
      </c>
      <c r="O24" s="14">
        <f t="shared" si="4"/>
        <v>2.0586E-2</v>
      </c>
      <c r="P24" s="3"/>
      <c r="Q24" s="4">
        <f t="shared" si="5"/>
        <v>6217.6872725490184</v>
      </c>
    </row>
    <row r="25" spans="1:17" x14ac:dyDescent="0.25">
      <c r="A25">
        <v>43142</v>
      </c>
      <c r="B25">
        <v>3773.8114999999998</v>
      </c>
      <c r="C25">
        <v>64.760819999999995</v>
      </c>
      <c r="D25">
        <v>63.354799999999997</v>
      </c>
      <c r="E25">
        <v>64</v>
      </c>
      <c r="F25">
        <v>2.8230000000000002E-2</v>
      </c>
      <c r="G25">
        <v>2.0209999999999999E-2</v>
      </c>
      <c r="H25" t="s">
        <v>30</v>
      </c>
      <c r="I25" s="3"/>
      <c r="J25" s="3"/>
      <c r="K25" s="3"/>
      <c r="L25" s="3"/>
      <c r="M25" s="3"/>
      <c r="N25" s="3"/>
      <c r="O25" s="14"/>
      <c r="P25" s="3"/>
      <c r="Q25" s="4"/>
    </row>
    <row r="26" spans="1:17" x14ac:dyDescent="0.25">
      <c r="A26">
        <v>3374</v>
      </c>
      <c r="B26">
        <v>380.60700000000003</v>
      </c>
      <c r="C26">
        <v>36.07152</v>
      </c>
      <c r="D26">
        <v>37.251300000000001</v>
      </c>
      <c r="E26">
        <v>48</v>
      </c>
      <c r="F26">
        <v>0.12687000000000001</v>
      </c>
      <c r="G26">
        <v>8.2930000000000004E-2</v>
      </c>
      <c r="H26" t="s">
        <v>53</v>
      </c>
      <c r="I26" s="3" t="s">
        <v>53</v>
      </c>
      <c r="J26" s="3">
        <f>B26+B27</f>
        <v>1168.0174999999999</v>
      </c>
      <c r="K26" s="3">
        <f>MAX(E26:E27)</f>
        <v>48</v>
      </c>
      <c r="L26" s="3">
        <f>AVERAGE(F26:G27)</f>
        <v>8.2265000000000005E-2</v>
      </c>
      <c r="M26" s="3">
        <v>1</v>
      </c>
      <c r="N26" s="4">
        <f t="shared" si="3"/>
        <v>1084.0175747916664</v>
      </c>
      <c r="O26" s="14">
        <f t="shared" si="4"/>
        <v>9.8718E-2</v>
      </c>
      <c r="P26" s="3"/>
      <c r="Q26" s="4">
        <f t="shared" si="5"/>
        <v>910.93913848039199</v>
      </c>
    </row>
    <row r="27" spans="1:17" x14ac:dyDescent="0.25">
      <c r="A27">
        <v>3375</v>
      </c>
      <c r="B27">
        <v>787.41049999999996</v>
      </c>
      <c r="C27">
        <v>47.690579999999997</v>
      </c>
      <c r="D27">
        <v>47.680300000000003</v>
      </c>
      <c r="E27">
        <v>48</v>
      </c>
      <c r="F27">
        <v>7.2700000000000001E-2</v>
      </c>
      <c r="G27">
        <v>4.6559999999999997E-2</v>
      </c>
      <c r="H27" t="s">
        <v>54</v>
      </c>
      <c r="I27" s="3"/>
      <c r="J27" s="3"/>
      <c r="K27" s="3"/>
      <c r="L27" s="3"/>
      <c r="M27" s="3"/>
      <c r="N27" s="3"/>
      <c r="O27" s="14"/>
      <c r="P27" s="3"/>
      <c r="Q27" s="4"/>
    </row>
    <row r="28" spans="1:17" x14ac:dyDescent="0.25">
      <c r="A28">
        <v>4844</v>
      </c>
      <c r="B28">
        <v>11067.047</v>
      </c>
      <c r="C28">
        <v>79.466030000000003</v>
      </c>
      <c r="D28">
        <v>79.109430000000003</v>
      </c>
      <c r="E28">
        <v>80</v>
      </c>
      <c r="F28">
        <v>5.0560000000000001E-2</v>
      </c>
      <c r="G28">
        <v>1.9140000000000001E-2</v>
      </c>
      <c r="H28" t="s">
        <v>52</v>
      </c>
      <c r="I28" s="3" t="s">
        <v>70</v>
      </c>
      <c r="J28" s="3">
        <f>B28+B29</f>
        <v>26912.898500000003</v>
      </c>
      <c r="K28" s="3">
        <f>MAX(E28:E29)</f>
        <v>80</v>
      </c>
      <c r="L28" s="3">
        <f>AVERAGE(F28:G29)</f>
        <v>3.0404999999999998E-2</v>
      </c>
      <c r="M28" s="3">
        <v>3</v>
      </c>
      <c r="N28" s="4">
        <f t="shared" si="3"/>
        <v>25083.718498616665</v>
      </c>
      <c r="O28" s="14">
        <f t="shared" si="4"/>
        <v>3.6485999999999998E-2</v>
      </c>
      <c r="P28" s="3"/>
      <c r="Q28" s="4">
        <f t="shared" si="5"/>
        <v>21078.755040854343</v>
      </c>
    </row>
    <row r="29" spans="1:17" x14ac:dyDescent="0.25">
      <c r="A29">
        <v>300962</v>
      </c>
      <c r="B29">
        <v>15845.851500000001</v>
      </c>
      <c r="C29">
        <v>79.308549999999997</v>
      </c>
      <c r="D29">
        <v>80.744420000000005</v>
      </c>
      <c r="E29">
        <v>80</v>
      </c>
      <c r="F29">
        <v>3.159E-2</v>
      </c>
      <c r="G29">
        <v>2.0330000000000001E-2</v>
      </c>
      <c r="H29" t="s">
        <v>51</v>
      </c>
      <c r="I29" s="3"/>
      <c r="J29" s="3"/>
      <c r="K29" s="3"/>
      <c r="L29" s="3"/>
      <c r="M29" s="3"/>
      <c r="N29" s="3"/>
      <c r="O29" s="14"/>
      <c r="P29" s="3"/>
      <c r="Q29" s="4"/>
    </row>
    <row r="30" spans="1:17" x14ac:dyDescent="0.25">
      <c r="A30">
        <v>5657</v>
      </c>
      <c r="B30">
        <v>340.33800000000002</v>
      </c>
      <c r="C30">
        <v>81.395489999999995</v>
      </c>
      <c r="D30">
        <v>82.828419999999994</v>
      </c>
      <c r="E30">
        <v>80</v>
      </c>
      <c r="F30">
        <v>0.10771</v>
      </c>
      <c r="G30">
        <v>7.3169999999999999E-2</v>
      </c>
      <c r="H30" t="s">
        <v>36</v>
      </c>
      <c r="I30" s="3" t="s">
        <v>36</v>
      </c>
      <c r="J30" s="3">
        <f>B30+B31</f>
        <v>489.93950000000001</v>
      </c>
      <c r="K30" s="3">
        <f>MAX(E30:E31)</f>
        <v>80</v>
      </c>
      <c r="L30" s="3">
        <f>AVERAGE(F30:G31)</f>
        <v>9.2072500000000002E-2</v>
      </c>
      <c r="M30" s="3">
        <v>1</v>
      </c>
      <c r="N30" s="4">
        <f t="shared" si="3"/>
        <v>454.70468429166664</v>
      </c>
      <c r="O30" s="14">
        <f t="shared" si="4"/>
        <v>0.110487</v>
      </c>
      <c r="P30" s="3"/>
      <c r="Q30" s="4">
        <f t="shared" si="5"/>
        <v>382.10477671568628</v>
      </c>
    </row>
    <row r="31" spans="1:17" x14ac:dyDescent="0.25">
      <c r="A31">
        <v>47986</v>
      </c>
      <c r="B31">
        <v>149.60149999999999</v>
      </c>
      <c r="C31">
        <v>84.741389999999996</v>
      </c>
      <c r="D31">
        <v>84.786760000000001</v>
      </c>
      <c r="E31">
        <v>80</v>
      </c>
      <c r="F31">
        <v>0.10903</v>
      </c>
      <c r="G31">
        <v>7.8380000000000005E-2</v>
      </c>
      <c r="H31" t="s">
        <v>35</v>
      </c>
      <c r="I31" s="3"/>
      <c r="J31" s="3"/>
      <c r="K31" s="3"/>
      <c r="L31" s="3"/>
      <c r="M31" s="3"/>
      <c r="N31" s="3"/>
      <c r="O31" s="14"/>
      <c r="P31" s="3"/>
      <c r="Q31" s="4"/>
    </row>
    <row r="32" spans="1:17" x14ac:dyDescent="0.25">
      <c r="A32">
        <v>455</v>
      </c>
      <c r="B32">
        <v>461.14499999999998</v>
      </c>
      <c r="C32">
        <v>30.850149999999999</v>
      </c>
      <c r="D32">
        <v>30.937650000000001</v>
      </c>
      <c r="E32">
        <v>32</v>
      </c>
      <c r="F32">
        <v>6.6970000000000002E-2</v>
      </c>
      <c r="G32">
        <v>4.7120000000000002E-2</v>
      </c>
      <c r="H32" t="s">
        <v>44</v>
      </c>
      <c r="I32" s="3" t="s">
        <v>59</v>
      </c>
      <c r="J32" s="3">
        <f>B32+B33</f>
        <v>715.09950000000003</v>
      </c>
      <c r="K32" s="3">
        <f>MAX(E32:E33)</f>
        <v>32</v>
      </c>
      <c r="L32" s="3">
        <f>AVERAGE(F32:G33)</f>
        <v>6.4247499999999999E-2</v>
      </c>
      <c r="M32" s="3">
        <v>1</v>
      </c>
      <c r="N32" s="4">
        <f t="shared" si="3"/>
        <v>663.67192762499997</v>
      </c>
      <c r="O32" s="14">
        <f t="shared" si="4"/>
        <v>7.7096999999999999E-2</v>
      </c>
      <c r="P32" s="3"/>
      <c r="Q32" s="4">
        <f t="shared" si="5"/>
        <v>557.70750220588241</v>
      </c>
    </row>
    <row r="33" spans="1:17" x14ac:dyDescent="0.25">
      <c r="A33">
        <v>478</v>
      </c>
      <c r="B33">
        <v>253.9545</v>
      </c>
      <c r="C33">
        <v>33.949959999999997</v>
      </c>
      <c r="D33">
        <v>34.453209999999999</v>
      </c>
      <c r="E33">
        <v>32</v>
      </c>
      <c r="F33">
        <v>8.5999999999999993E-2</v>
      </c>
      <c r="G33">
        <v>5.6899999999999999E-2</v>
      </c>
      <c r="H33" t="s">
        <v>43</v>
      </c>
      <c r="I33" s="3"/>
      <c r="J33" s="3"/>
      <c r="K33" s="3"/>
      <c r="L33" s="3"/>
      <c r="M33" s="3"/>
      <c r="N33" s="3"/>
      <c r="O33" s="14"/>
      <c r="P33" s="3"/>
      <c r="Q33" s="4"/>
    </row>
    <row r="34" spans="1:17" x14ac:dyDescent="0.25">
      <c r="A34">
        <v>49317</v>
      </c>
      <c r="B34">
        <v>314.791</v>
      </c>
      <c r="C34">
        <v>20.50638</v>
      </c>
      <c r="D34">
        <v>20.92539</v>
      </c>
      <c r="E34">
        <v>32</v>
      </c>
      <c r="F34">
        <v>7.9839999999999994E-2</v>
      </c>
      <c r="G34">
        <v>6.6669999999999993E-2</v>
      </c>
      <c r="H34" t="s">
        <v>45</v>
      </c>
      <c r="I34" s="3" t="s">
        <v>71</v>
      </c>
      <c r="J34" s="3">
        <f>B34+B35</f>
        <v>544.49749999999995</v>
      </c>
      <c r="K34" s="3">
        <f>MAX(E34:E35)</f>
        <v>32</v>
      </c>
      <c r="L34" s="3">
        <f>AVERAGE(F34:G35)</f>
        <v>6.8064999999999987E-2</v>
      </c>
      <c r="M34" s="3">
        <v>1</v>
      </c>
      <c r="N34" s="4">
        <f t="shared" si="3"/>
        <v>505.33905479166657</v>
      </c>
      <c r="O34" s="14">
        <f t="shared" si="4"/>
        <v>8.1677999999999987E-2</v>
      </c>
      <c r="P34" s="3"/>
      <c r="Q34" s="4">
        <f t="shared" si="5"/>
        <v>424.65466789215679</v>
      </c>
    </row>
    <row r="35" spans="1:17" x14ac:dyDescent="0.25">
      <c r="A35">
        <v>49896</v>
      </c>
      <c r="B35">
        <v>229.70650000000001</v>
      </c>
      <c r="C35">
        <v>16.740390000000001</v>
      </c>
      <c r="D35">
        <v>16.815460000000002</v>
      </c>
      <c r="E35">
        <v>32</v>
      </c>
      <c r="F35">
        <v>7.8810000000000005E-2</v>
      </c>
      <c r="G35">
        <v>4.6940000000000003E-2</v>
      </c>
      <c r="H35" t="s">
        <v>46</v>
      </c>
      <c r="I35" s="3"/>
      <c r="J35" s="3"/>
      <c r="K35" s="3"/>
      <c r="L35" s="3"/>
      <c r="M35" s="3"/>
      <c r="N35" s="3"/>
      <c r="O35" s="14"/>
      <c r="P35" s="3"/>
      <c r="Q35" s="4"/>
    </row>
    <row r="36" spans="1:17" x14ac:dyDescent="0.25">
      <c r="A36">
        <v>49318</v>
      </c>
      <c r="B36">
        <v>233.82</v>
      </c>
      <c r="C36">
        <v>26.369140000000002</v>
      </c>
      <c r="D36">
        <v>26.492570000000001</v>
      </c>
      <c r="E36">
        <v>32</v>
      </c>
      <c r="F36">
        <v>7.9659999999999995E-2</v>
      </c>
      <c r="G36">
        <v>4.8980000000000003E-2</v>
      </c>
      <c r="H36" t="s">
        <v>47</v>
      </c>
      <c r="I36" s="3" t="s">
        <v>68</v>
      </c>
      <c r="J36" s="3">
        <f>B36+B37</f>
        <v>571.77649999999994</v>
      </c>
      <c r="K36" s="3">
        <f>MAX(E36:E37)</f>
        <v>32</v>
      </c>
      <c r="L36" s="3">
        <f>AVERAGE(F36:G37)</f>
        <v>7.1167499999999995E-2</v>
      </c>
      <c r="M36" s="3">
        <v>1</v>
      </c>
      <c r="N36" s="4">
        <f t="shared" si="3"/>
        <v>530.65624004166659</v>
      </c>
      <c r="O36" s="14">
        <f t="shared" si="4"/>
        <v>8.5400999999999991E-2</v>
      </c>
      <c r="P36" s="3"/>
      <c r="Q36" s="4">
        <f t="shared" si="5"/>
        <v>445.92961348039211</v>
      </c>
    </row>
    <row r="37" spans="1:17" x14ac:dyDescent="0.25">
      <c r="A37">
        <v>49893</v>
      </c>
      <c r="B37">
        <v>337.95650000000001</v>
      </c>
      <c r="C37">
        <v>13.38349</v>
      </c>
      <c r="D37">
        <v>13.876810000000001</v>
      </c>
      <c r="E37">
        <v>32</v>
      </c>
      <c r="F37">
        <v>8.8499999999999995E-2</v>
      </c>
      <c r="G37">
        <v>6.7530000000000007E-2</v>
      </c>
      <c r="H37" t="s">
        <v>48</v>
      </c>
      <c r="I37" s="3"/>
      <c r="J37" s="3"/>
      <c r="K37" s="3"/>
      <c r="L37" s="3"/>
      <c r="M37" s="3"/>
      <c r="N37" s="3"/>
      <c r="O37" s="14"/>
      <c r="P37" s="3"/>
      <c r="Q37" s="4"/>
    </row>
    <row r="38" spans="1:17" x14ac:dyDescent="0.25">
      <c r="A38">
        <v>48177</v>
      </c>
      <c r="B38">
        <v>71.228499999999997</v>
      </c>
      <c r="C38">
        <v>53.461539999999999</v>
      </c>
      <c r="D38">
        <v>51.896540000000002</v>
      </c>
      <c r="E38">
        <v>50</v>
      </c>
      <c r="F38">
        <v>0</v>
      </c>
      <c r="G38">
        <v>0</v>
      </c>
      <c r="H38" t="s">
        <v>50</v>
      </c>
      <c r="I38" s="3" t="s">
        <v>72</v>
      </c>
      <c r="J38" s="3">
        <f>B38+B39</f>
        <v>71.878</v>
      </c>
      <c r="K38" s="3">
        <f>MAX(E38:E39)</f>
        <v>50</v>
      </c>
      <c r="L38" s="3">
        <f>AVERAGE(F38:G39)</f>
        <v>0</v>
      </c>
      <c r="M38" s="3">
        <v>1</v>
      </c>
      <c r="N38" s="4">
        <f t="shared" si="3"/>
        <v>66.708773833333339</v>
      </c>
      <c r="O38" s="14">
        <f t="shared" si="4"/>
        <v>0</v>
      </c>
      <c r="P38" s="3"/>
      <c r="Q38" s="4">
        <f t="shared" si="5"/>
        <v>56.057793137254912</v>
      </c>
    </row>
    <row r="39" spans="1:17" x14ac:dyDescent="0.25">
      <c r="A39">
        <v>48178</v>
      </c>
      <c r="B39">
        <v>0.64949999999999997</v>
      </c>
      <c r="C39">
        <v>56.579219999999999</v>
      </c>
      <c r="D39">
        <v>54.712800000000001</v>
      </c>
      <c r="E39">
        <v>50</v>
      </c>
      <c r="F39">
        <v>0</v>
      </c>
      <c r="G39">
        <v>0</v>
      </c>
      <c r="H39" t="s">
        <v>49</v>
      </c>
      <c r="I39" s="3"/>
      <c r="J39" s="3"/>
      <c r="K39" s="3"/>
      <c r="L39" s="3"/>
      <c r="M39" s="3"/>
      <c r="N39" s="3"/>
      <c r="O39" s="14"/>
      <c r="P39" s="3"/>
      <c r="Q39" s="4"/>
    </row>
    <row r="40" spans="1:17" x14ac:dyDescent="0.25">
      <c r="A40">
        <v>49265</v>
      </c>
      <c r="B40">
        <v>276.47050000000002</v>
      </c>
      <c r="C40">
        <v>28.019100000000002</v>
      </c>
      <c r="D40">
        <v>28.350529999999999</v>
      </c>
      <c r="E40">
        <v>32</v>
      </c>
      <c r="F40">
        <v>7.0019999999999999E-2</v>
      </c>
      <c r="G40">
        <v>3.065E-2</v>
      </c>
      <c r="H40" t="s">
        <v>40</v>
      </c>
      <c r="I40" s="3" t="s">
        <v>60</v>
      </c>
      <c r="J40" s="3">
        <f>B40+B41</f>
        <v>535.62100000000009</v>
      </c>
      <c r="K40" s="3">
        <f>MAX(E40:E41)</f>
        <v>32</v>
      </c>
      <c r="L40" s="3">
        <f>AVERAGE(F40:G41)</f>
        <v>5.0227500000000001E-2</v>
      </c>
      <c r="M40" s="3">
        <v>1</v>
      </c>
      <c r="N40" s="4">
        <f t="shared" si="3"/>
        <v>497.10092308333344</v>
      </c>
      <c r="O40" s="14">
        <f t="shared" si="4"/>
        <v>6.0273E-2</v>
      </c>
      <c r="P40" s="3"/>
      <c r="Q40" s="4">
        <f t="shared" si="5"/>
        <v>417.73186813725499</v>
      </c>
    </row>
    <row r="41" spans="1:17" x14ac:dyDescent="0.25">
      <c r="A41">
        <v>49266</v>
      </c>
      <c r="B41">
        <v>259.15050000000002</v>
      </c>
      <c r="C41">
        <v>29.223330000000001</v>
      </c>
      <c r="D41">
        <v>29.571190000000001</v>
      </c>
      <c r="E41">
        <v>32</v>
      </c>
      <c r="F41">
        <v>6.9470000000000004E-2</v>
      </c>
      <c r="G41">
        <v>3.0769999999999999E-2</v>
      </c>
      <c r="H41" t="s">
        <v>39</v>
      </c>
      <c r="I41" s="3"/>
      <c r="J41" s="3"/>
      <c r="K41" s="3"/>
      <c r="L41" s="3"/>
      <c r="M41" s="3"/>
      <c r="N41" s="3"/>
      <c r="O41" s="14"/>
      <c r="P41" s="3"/>
      <c r="Q41" s="4"/>
    </row>
    <row r="42" spans="1:17" x14ac:dyDescent="0.25">
      <c r="A42">
        <v>49267</v>
      </c>
      <c r="B42">
        <v>191.1695</v>
      </c>
      <c r="C42">
        <v>34.384239999999998</v>
      </c>
      <c r="D42">
        <v>34.800249999999998</v>
      </c>
      <c r="E42">
        <v>32</v>
      </c>
      <c r="F42">
        <v>0.10367</v>
      </c>
      <c r="G42">
        <v>7.8570000000000001E-2</v>
      </c>
      <c r="H42" t="s">
        <v>38</v>
      </c>
      <c r="I42" s="3" t="s">
        <v>61</v>
      </c>
      <c r="J42" s="3">
        <f>B42+B43</f>
        <v>473.91849999999999</v>
      </c>
      <c r="K42" s="3">
        <f>MAX(E42:E43)</f>
        <v>32</v>
      </c>
      <c r="L42" s="3">
        <f>AVERAGE(F42:G43)</f>
        <v>7.8062500000000007E-2</v>
      </c>
      <c r="M42" s="3">
        <v>1</v>
      </c>
      <c r="N42" s="4">
        <f t="shared" si="3"/>
        <v>439.83586120833331</v>
      </c>
      <c r="O42" s="14">
        <f t="shared" si="4"/>
        <v>9.3675000000000008E-2</v>
      </c>
      <c r="P42" s="3"/>
      <c r="Q42" s="4">
        <f t="shared" si="5"/>
        <v>369.60996740196077</v>
      </c>
    </row>
    <row r="43" spans="1:17" x14ac:dyDescent="0.25">
      <c r="A43">
        <v>49268</v>
      </c>
      <c r="B43">
        <v>282.74900000000002</v>
      </c>
      <c r="C43">
        <v>29.509869999999999</v>
      </c>
      <c r="D43">
        <v>29.70974</v>
      </c>
      <c r="E43">
        <v>32</v>
      </c>
      <c r="F43">
        <v>6.9070000000000006E-2</v>
      </c>
      <c r="G43">
        <v>6.0940000000000001E-2</v>
      </c>
      <c r="H43" t="s">
        <v>37</v>
      </c>
      <c r="I43" s="3"/>
      <c r="J43" s="3"/>
      <c r="K43" s="3"/>
      <c r="L43" s="3"/>
      <c r="M43" s="3"/>
      <c r="N43" s="3"/>
      <c r="O43" s="14"/>
      <c r="P43" s="3"/>
      <c r="Q43" s="4"/>
    </row>
    <row r="44" spans="1:17" x14ac:dyDescent="0.25">
      <c r="A44">
        <v>49270</v>
      </c>
      <c r="B44">
        <v>277.98599999999999</v>
      </c>
      <c r="C44">
        <v>25.038329999999998</v>
      </c>
      <c r="D44">
        <v>25.25093</v>
      </c>
      <c r="E44">
        <v>32</v>
      </c>
      <c r="F44">
        <v>6.6229999999999997E-2</v>
      </c>
      <c r="G44">
        <v>2.0590000000000001E-2</v>
      </c>
      <c r="H44" t="s">
        <v>41</v>
      </c>
      <c r="I44" s="3" t="s">
        <v>62</v>
      </c>
      <c r="J44" s="3">
        <f>B44+B45</f>
        <v>468.50599999999997</v>
      </c>
      <c r="K44" s="3">
        <f>MAX(E44:E45)</f>
        <v>32</v>
      </c>
      <c r="L44" s="3">
        <f>AVERAGE(F44:G45)</f>
        <v>5.4579999999999997E-2</v>
      </c>
      <c r="M44" s="3">
        <v>1</v>
      </c>
      <c r="N44" s="4">
        <f t="shared" si="3"/>
        <v>434.81261016666667</v>
      </c>
      <c r="O44" s="14">
        <f t="shared" si="4"/>
        <v>6.5495999999999999E-2</v>
      </c>
      <c r="P44" s="3"/>
      <c r="Q44" s="4">
        <f t="shared" si="5"/>
        <v>365.38874803921573</v>
      </c>
    </row>
    <row r="45" spans="1:17" x14ac:dyDescent="0.25">
      <c r="A45">
        <v>49271</v>
      </c>
      <c r="B45">
        <v>190.52</v>
      </c>
      <c r="C45">
        <v>29.28051</v>
      </c>
      <c r="D45">
        <v>29.38185</v>
      </c>
      <c r="E45">
        <v>32</v>
      </c>
      <c r="F45">
        <v>6.8089999999999998E-2</v>
      </c>
      <c r="G45">
        <v>6.3409999999999994E-2</v>
      </c>
      <c r="H45" t="s">
        <v>42</v>
      </c>
      <c r="I45" s="3"/>
      <c r="J45" s="3"/>
      <c r="K45" s="3"/>
      <c r="L45" s="3"/>
      <c r="M45" s="3"/>
      <c r="N45" s="3"/>
      <c r="O45" s="14"/>
      <c r="P45" s="3"/>
      <c r="Q45" s="4"/>
    </row>
    <row r="46" spans="1:17" x14ac:dyDescent="0.25">
      <c r="A46">
        <v>49902</v>
      </c>
      <c r="B46">
        <v>1.0825</v>
      </c>
      <c r="C46">
        <v>22.10727</v>
      </c>
      <c r="D46">
        <v>24.71236</v>
      </c>
      <c r="E46">
        <v>32</v>
      </c>
      <c r="F46">
        <v>0.4</v>
      </c>
      <c r="G46">
        <v>0</v>
      </c>
      <c r="H46" t="s">
        <v>32</v>
      </c>
      <c r="I46" s="3" t="s">
        <v>73</v>
      </c>
      <c r="J46" s="3">
        <f>B46+B47</f>
        <v>21.866499999999998</v>
      </c>
      <c r="K46" s="3">
        <f>MAX(E46:E47)</f>
        <v>32</v>
      </c>
      <c r="L46" s="3">
        <f>AVERAGE(F46:G47)</f>
        <v>0.20796500000000001</v>
      </c>
      <c r="M46" s="3">
        <v>1</v>
      </c>
      <c r="N46" s="4">
        <f t="shared" si="3"/>
        <v>20.293934208333333</v>
      </c>
      <c r="O46" s="14">
        <f t="shared" si="4"/>
        <v>0.249558</v>
      </c>
      <c r="P46" s="3"/>
      <c r="Q46" s="4">
        <f t="shared" si="5"/>
        <v>17.053726225490198</v>
      </c>
    </row>
    <row r="47" spans="1:17" x14ac:dyDescent="0.25">
      <c r="A47">
        <v>49892</v>
      </c>
      <c r="B47">
        <v>20.783999999999999</v>
      </c>
      <c r="C47">
        <v>25.935649999999999</v>
      </c>
      <c r="D47">
        <v>26.897469999999998</v>
      </c>
      <c r="E47">
        <v>32</v>
      </c>
      <c r="F47">
        <v>0.34615000000000001</v>
      </c>
      <c r="G47">
        <v>8.5709999999999995E-2</v>
      </c>
      <c r="H47" t="s">
        <v>31</v>
      </c>
      <c r="I47" s="3"/>
      <c r="J47" s="3"/>
      <c r="K47" s="3"/>
      <c r="L47" s="3"/>
      <c r="M47" s="3"/>
      <c r="N47" s="3"/>
      <c r="O47" s="14"/>
      <c r="P47" s="3"/>
      <c r="Q47" s="4"/>
    </row>
    <row r="48" spans="1:17" x14ac:dyDescent="0.25">
      <c r="A48">
        <v>49899</v>
      </c>
      <c r="B48">
        <v>3.2475000000000001</v>
      </c>
      <c r="C48">
        <v>33.569200000000002</v>
      </c>
      <c r="D48">
        <v>33.857019999999999</v>
      </c>
      <c r="E48">
        <v>32</v>
      </c>
      <c r="F48">
        <v>0</v>
      </c>
      <c r="G48">
        <v>0</v>
      </c>
      <c r="H48" t="s">
        <v>33</v>
      </c>
      <c r="I48" s="3" t="s">
        <v>74</v>
      </c>
      <c r="J48" s="3">
        <f>B48+B49</f>
        <v>5.8454999999999995</v>
      </c>
      <c r="K48" s="3">
        <f>MAX(E48:E49)</f>
        <v>32</v>
      </c>
      <c r="L48" s="3">
        <f>AVERAGE(F48:G49)</f>
        <v>0</v>
      </c>
      <c r="M48" s="3">
        <v>1</v>
      </c>
      <c r="N48" s="4">
        <f t="shared" si="3"/>
        <v>5.4251111249999999</v>
      </c>
      <c r="O48" s="14">
        <f t="shared" si="4"/>
        <v>0</v>
      </c>
      <c r="P48" s="3"/>
      <c r="Q48" s="4">
        <f t="shared" si="5"/>
        <v>4.5589169117647064</v>
      </c>
    </row>
    <row r="49" spans="1:18" x14ac:dyDescent="0.25">
      <c r="A49">
        <v>49903</v>
      </c>
      <c r="B49">
        <v>2.5979999999999999</v>
      </c>
      <c r="C49">
        <v>28.783750000000001</v>
      </c>
      <c r="D49">
        <v>-1</v>
      </c>
      <c r="E49">
        <v>32</v>
      </c>
      <c r="F49">
        <v>0</v>
      </c>
      <c r="G49">
        <v>0</v>
      </c>
      <c r="H49" t="s">
        <v>34</v>
      </c>
      <c r="I49" s="3"/>
      <c r="J49" s="3"/>
      <c r="K49" s="3"/>
      <c r="L49" s="3"/>
      <c r="M49" s="3"/>
      <c r="N49" s="3"/>
      <c r="O49" s="14"/>
      <c r="P49" s="3"/>
      <c r="Q49" s="4"/>
    </row>
    <row r="50" spans="1:18" x14ac:dyDescent="0.25">
      <c r="A50">
        <v>300891</v>
      </c>
      <c r="B50">
        <v>1497.9635000000001</v>
      </c>
      <c r="C50">
        <v>54.471870000000003</v>
      </c>
      <c r="D50">
        <v>54.41854</v>
      </c>
      <c r="E50">
        <v>48</v>
      </c>
      <c r="F50">
        <v>2.368E-2</v>
      </c>
      <c r="G50">
        <v>1.4409999999999999E-2</v>
      </c>
      <c r="H50" t="s">
        <v>55</v>
      </c>
      <c r="I50" s="3" t="s">
        <v>55</v>
      </c>
      <c r="J50" s="3">
        <f t="shared" ref="J50:J53" si="6">B50</f>
        <v>1497.9635000000001</v>
      </c>
      <c r="K50" s="3">
        <f t="shared" ref="K50:K53" si="7">E50</f>
        <v>48</v>
      </c>
      <c r="L50" s="3">
        <f t="shared" ref="L50:L53" si="8">AVERAGE(F50:G50)</f>
        <v>1.9044999999999999E-2</v>
      </c>
      <c r="M50" s="3">
        <v>1</v>
      </c>
      <c r="N50" s="4">
        <f t="shared" ref="N50:N53" si="9">AADT2AAWT(M50,J50)</f>
        <v>1390.2349582916668</v>
      </c>
      <c r="O50" s="14">
        <f t="shared" ref="O50:O53" si="10">HGVWeekday(L50)</f>
        <v>2.2853999999999999E-2</v>
      </c>
      <c r="P50" s="3"/>
      <c r="Q50" s="4">
        <f t="shared" si="5"/>
        <v>1168.2646708333334</v>
      </c>
    </row>
    <row r="51" spans="1:18" x14ac:dyDescent="0.25">
      <c r="A51">
        <v>300890</v>
      </c>
      <c r="B51">
        <v>1471.9835</v>
      </c>
      <c r="C51">
        <v>51.250950000000003</v>
      </c>
      <c r="D51">
        <v>52.020980000000002</v>
      </c>
      <c r="E51">
        <v>48</v>
      </c>
      <c r="F51">
        <v>1.3259999999999999E-2</v>
      </c>
      <c r="G51">
        <v>5.11E-3</v>
      </c>
      <c r="H51" t="s">
        <v>56</v>
      </c>
      <c r="I51" s="3" t="s">
        <v>56</v>
      </c>
      <c r="J51" s="3">
        <f t="shared" si="6"/>
        <v>1471.9835</v>
      </c>
      <c r="K51" s="3">
        <f t="shared" si="7"/>
        <v>48</v>
      </c>
      <c r="L51" s="3">
        <f t="shared" si="8"/>
        <v>9.1849999999999987E-3</v>
      </c>
      <c r="M51" s="3">
        <v>1</v>
      </c>
      <c r="N51" s="4">
        <f t="shared" si="9"/>
        <v>1366.1233532916667</v>
      </c>
      <c r="O51" s="14">
        <f t="shared" si="10"/>
        <v>1.1021999999999999E-2</v>
      </c>
      <c r="P51" s="3"/>
      <c r="Q51" s="4">
        <f t="shared" si="5"/>
        <v>1148.0028178921571</v>
      </c>
      <c r="R51" t="s">
        <v>81</v>
      </c>
    </row>
    <row r="52" spans="1:18" x14ac:dyDescent="0.25">
      <c r="A52">
        <v>300895</v>
      </c>
      <c r="B52">
        <v>2752.7975000000001</v>
      </c>
      <c r="C52">
        <v>50.86694</v>
      </c>
      <c r="D52">
        <v>50.059939999999997</v>
      </c>
      <c r="E52">
        <v>48</v>
      </c>
      <c r="F52">
        <v>1.9310000000000001E-2</v>
      </c>
      <c r="G52">
        <v>1.3140000000000001E-2</v>
      </c>
      <c r="H52" t="s">
        <v>57</v>
      </c>
      <c r="I52" s="3" t="s">
        <v>57</v>
      </c>
      <c r="J52" s="3">
        <f t="shared" si="6"/>
        <v>2752.7975000000001</v>
      </c>
      <c r="K52" s="3">
        <f t="shared" si="7"/>
        <v>48</v>
      </c>
      <c r="L52" s="3">
        <f t="shared" si="8"/>
        <v>1.6225E-2</v>
      </c>
      <c r="M52" s="3">
        <v>3</v>
      </c>
      <c r="N52" s="4">
        <f t="shared" si="9"/>
        <v>2565.6990299166669</v>
      </c>
      <c r="O52" s="14">
        <f t="shared" si="10"/>
        <v>1.9469999999999998E-2</v>
      </c>
      <c r="P52" s="3"/>
      <c r="Q52" s="4">
        <f t="shared" si="5"/>
        <v>2156.0496049719891</v>
      </c>
    </row>
    <row r="53" spans="1:18" x14ac:dyDescent="0.25">
      <c r="A53">
        <v>300894</v>
      </c>
      <c r="B53">
        <v>3605.1579999999999</v>
      </c>
      <c r="C53">
        <v>49.91375</v>
      </c>
      <c r="D53">
        <v>50.560589999999998</v>
      </c>
      <c r="E53">
        <v>48</v>
      </c>
      <c r="F53">
        <v>5.5100000000000001E-3</v>
      </c>
      <c r="G53">
        <v>3.3700000000000002E-3</v>
      </c>
      <c r="H53" t="s">
        <v>58</v>
      </c>
      <c r="I53" s="3" t="s">
        <v>58</v>
      </c>
      <c r="J53" s="3">
        <f t="shared" si="6"/>
        <v>3605.1579999999999</v>
      </c>
      <c r="K53" s="3">
        <f t="shared" si="7"/>
        <v>48</v>
      </c>
      <c r="L53" s="3">
        <f t="shared" si="8"/>
        <v>4.4400000000000004E-3</v>
      </c>
      <c r="M53" s="3">
        <v>3</v>
      </c>
      <c r="N53" s="4">
        <f t="shared" si="9"/>
        <v>3360.1274279333329</v>
      </c>
      <c r="O53" s="14">
        <f t="shared" si="10"/>
        <v>5.3280000000000003E-3</v>
      </c>
      <c r="P53" s="3"/>
      <c r="Q53" s="4">
        <f t="shared" si="5"/>
        <v>2823.6364940616245</v>
      </c>
    </row>
    <row r="54" spans="1:18" x14ac:dyDescent="0.25">
      <c r="I54" s="3" t="s">
        <v>83</v>
      </c>
      <c r="K54" s="3">
        <f>MAX(K52:K53)</f>
        <v>48</v>
      </c>
      <c r="Q54" s="13">
        <f>Q52+Q53</f>
        <v>4979.6860990336136</v>
      </c>
    </row>
    <row r="55" spans="1:18" x14ac:dyDescent="0.25">
      <c r="I55" s="3" t="s">
        <v>82</v>
      </c>
      <c r="K55" s="3">
        <f t="shared" ref="K55:Q55" si="11">K50</f>
        <v>48</v>
      </c>
      <c r="L55" s="3">
        <f t="shared" si="11"/>
        <v>1.9044999999999999E-2</v>
      </c>
      <c r="M55" s="3">
        <f t="shared" si="11"/>
        <v>1</v>
      </c>
      <c r="N55" s="3">
        <f t="shared" si="11"/>
        <v>1390.2349582916668</v>
      </c>
      <c r="O55" s="14">
        <f t="shared" si="11"/>
        <v>2.2853999999999999E-2</v>
      </c>
      <c r="P55" s="3">
        <f t="shared" si="11"/>
        <v>0</v>
      </c>
      <c r="Q55" s="16">
        <f t="shared" si="11"/>
        <v>1168.2646708333334</v>
      </c>
    </row>
    <row r="56" spans="1:18" x14ac:dyDescent="0.25">
      <c r="I56" s="3" t="s">
        <v>84</v>
      </c>
      <c r="K56">
        <f>K51</f>
        <v>48</v>
      </c>
      <c r="Q56" s="13">
        <f>Q50+Q55+Q51</f>
        <v>3484.5321595588239</v>
      </c>
    </row>
    <row r="57" spans="1:18" x14ac:dyDescent="0.25">
      <c r="I57" s="3" t="s">
        <v>85</v>
      </c>
      <c r="K57">
        <f>K51</f>
        <v>48</v>
      </c>
      <c r="O57" s="15">
        <f>O51</f>
        <v>1.1021999999999999E-2</v>
      </c>
      <c r="Q57" s="13">
        <f>Q51</f>
        <v>1148.0028178921571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05BBA-63E7-4AE2-AA56-7EA834FFA0CB}">
  <sheetPr codeName="Sheet5">
    <tabColor theme="8"/>
  </sheetPr>
  <dimension ref="A1:O49"/>
  <sheetViews>
    <sheetView topLeftCell="A31" workbookViewId="0">
      <selection activeCell="G69" sqref="G69"/>
    </sheetView>
  </sheetViews>
  <sheetFormatPr defaultRowHeight="15" x14ac:dyDescent="0.25"/>
  <cols>
    <col min="1" max="1" width="11.42578125" bestFit="1" customWidth="1"/>
    <col min="2" max="2" width="11.28515625" bestFit="1" customWidth="1"/>
    <col min="3" max="3" width="10.7109375" bestFit="1" customWidth="1"/>
    <col min="4" max="4" width="10.28515625" bestFit="1" customWidth="1"/>
    <col min="5" max="5" width="10.140625" bestFit="1" customWidth="1"/>
    <col min="6" max="6" width="15.7109375" bestFit="1" customWidth="1"/>
    <col min="7" max="7" width="13.7109375" customWidth="1"/>
    <col min="8" max="8" width="27.28515625" bestFit="1" customWidth="1"/>
    <col min="9" max="9" width="22.140625" customWidth="1"/>
    <col min="10" max="10" width="10" customWidth="1"/>
    <col min="11" max="11" width="16.5703125" bestFit="1" customWidth="1"/>
    <col min="12" max="12" width="23" customWidth="1"/>
    <col min="13" max="13" width="13" customWidth="1"/>
    <col min="14" max="14" width="10.28515625" bestFit="1" customWidth="1"/>
    <col min="15" max="15" width="10.140625" style="1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8"/>
      <c r="J1" s="8" t="s">
        <v>1</v>
      </c>
      <c r="K1" s="8" t="s">
        <v>69</v>
      </c>
      <c r="L1" s="8" t="s">
        <v>63</v>
      </c>
      <c r="M1" s="8" t="s">
        <v>75</v>
      </c>
      <c r="N1" s="8" t="s">
        <v>76</v>
      </c>
      <c r="O1" s="11" t="s">
        <v>77</v>
      </c>
    </row>
    <row r="2" spans="1:15" x14ac:dyDescent="0.25">
      <c r="A2">
        <v>504</v>
      </c>
      <c r="B2">
        <v>30548.15</v>
      </c>
      <c r="C2">
        <v>97.887379999999993</v>
      </c>
      <c r="D2">
        <v>98.310059999999993</v>
      </c>
      <c r="E2">
        <v>120</v>
      </c>
      <c r="F2">
        <v>0.10549</v>
      </c>
      <c r="G2">
        <v>4.8959999999999997E-2</v>
      </c>
      <c r="H2" t="s">
        <v>12</v>
      </c>
      <c r="I2" s="8" t="s">
        <v>12</v>
      </c>
      <c r="J2" s="9">
        <f t="shared" ref="J2:J7" si="0">B2</f>
        <v>30548.15</v>
      </c>
      <c r="K2" s="8">
        <f t="shared" ref="K2:K7" si="1">E2</f>
        <v>120</v>
      </c>
      <c r="L2" s="11">
        <f t="shared" ref="L2:L7" si="2">AVERAGE(F2:G2)</f>
        <v>7.7225000000000002E-2</v>
      </c>
      <c r="M2" s="8">
        <v>3</v>
      </c>
      <c r="N2" s="9">
        <f>AADT2AAWT(M2,J2)</f>
        <v>28471.894071666666</v>
      </c>
      <c r="O2" s="11">
        <f>HGVWeekday(L2)</f>
        <v>9.2670000000000002E-2</v>
      </c>
    </row>
    <row r="3" spans="1:15" x14ac:dyDescent="0.25">
      <c r="A3">
        <v>48032</v>
      </c>
      <c r="B3">
        <v>31052.6</v>
      </c>
      <c r="C3">
        <v>98.259739999999994</v>
      </c>
      <c r="D3">
        <v>100.41436</v>
      </c>
      <c r="E3">
        <v>120</v>
      </c>
      <c r="F3">
        <v>7.4090000000000003E-2</v>
      </c>
      <c r="G3">
        <v>6.6009999999999999E-2</v>
      </c>
      <c r="H3" t="s">
        <v>11</v>
      </c>
      <c r="I3" s="8" t="s">
        <v>11</v>
      </c>
      <c r="J3" s="9">
        <f t="shared" si="0"/>
        <v>31052.6</v>
      </c>
      <c r="K3" s="8">
        <f t="shared" si="1"/>
        <v>120</v>
      </c>
      <c r="L3" s="11">
        <f t="shared" si="2"/>
        <v>7.0050000000000001E-2</v>
      </c>
      <c r="M3" s="8">
        <v>3</v>
      </c>
      <c r="N3" s="9">
        <f t="shared" ref="N3:N48" si="3">AADT2AAWT(M3,J3)</f>
        <v>28942.058286666666</v>
      </c>
      <c r="O3" s="11">
        <f t="shared" ref="O3:O48" si="4">HGVWeekday(L3)</f>
        <v>8.4059999999999996E-2</v>
      </c>
    </row>
    <row r="4" spans="1:15" x14ac:dyDescent="0.25">
      <c r="A4">
        <v>47938</v>
      </c>
      <c r="B4">
        <v>31078.79</v>
      </c>
      <c r="C4">
        <v>98.360200000000006</v>
      </c>
      <c r="D4">
        <v>98.649050000000003</v>
      </c>
      <c r="E4">
        <v>120</v>
      </c>
      <c r="F4">
        <v>7.3950000000000002E-2</v>
      </c>
      <c r="G4">
        <v>6.583E-2</v>
      </c>
      <c r="H4" t="s">
        <v>7</v>
      </c>
      <c r="I4" s="8" t="s">
        <v>7</v>
      </c>
      <c r="J4" s="9">
        <f t="shared" si="0"/>
        <v>31078.79</v>
      </c>
      <c r="K4" s="8">
        <f t="shared" si="1"/>
        <v>120</v>
      </c>
      <c r="L4" s="11">
        <f t="shared" si="2"/>
        <v>6.9890000000000008E-2</v>
      </c>
      <c r="M4" s="8">
        <v>3</v>
      </c>
      <c r="N4" s="9">
        <f t="shared" si="3"/>
        <v>28966.468239666669</v>
      </c>
      <c r="O4" s="11">
        <f t="shared" si="4"/>
        <v>8.3868000000000012E-2</v>
      </c>
    </row>
    <row r="5" spans="1:15" x14ac:dyDescent="0.25">
      <c r="A5">
        <v>48042</v>
      </c>
      <c r="B5">
        <v>30821.16</v>
      </c>
      <c r="C5">
        <v>96.375010000000003</v>
      </c>
      <c r="D5">
        <v>90.967849999999999</v>
      </c>
      <c r="E5">
        <v>120</v>
      </c>
      <c r="F5">
        <v>0.10549</v>
      </c>
      <c r="G5">
        <v>4.8180000000000001E-2</v>
      </c>
      <c r="H5" t="s">
        <v>8</v>
      </c>
      <c r="I5" s="8" t="s">
        <v>8</v>
      </c>
      <c r="J5" s="9">
        <f t="shared" si="0"/>
        <v>30821.16</v>
      </c>
      <c r="K5" s="8">
        <f t="shared" si="1"/>
        <v>120</v>
      </c>
      <c r="L5" s="11">
        <f t="shared" si="2"/>
        <v>7.6835000000000001E-2</v>
      </c>
      <c r="M5" s="8">
        <v>3</v>
      </c>
      <c r="N5" s="9">
        <f t="shared" si="3"/>
        <v>28726.348491999997</v>
      </c>
      <c r="O5" s="11">
        <f t="shared" si="4"/>
        <v>9.2201999999999992E-2</v>
      </c>
    </row>
    <row r="6" spans="1:15" x14ac:dyDescent="0.25">
      <c r="A6">
        <v>47939</v>
      </c>
      <c r="B6">
        <v>31854.29</v>
      </c>
      <c r="C6">
        <v>91.463250000000002</v>
      </c>
      <c r="D6">
        <v>38.741950000000003</v>
      </c>
      <c r="E6">
        <v>120</v>
      </c>
      <c r="F6">
        <v>0.10372000000000001</v>
      </c>
      <c r="G6">
        <v>4.648E-2</v>
      </c>
      <c r="H6" t="s">
        <v>10</v>
      </c>
      <c r="I6" s="8" t="s">
        <v>10</v>
      </c>
      <c r="J6" s="9">
        <f t="shared" si="0"/>
        <v>31854.29</v>
      </c>
      <c r="K6" s="8">
        <f t="shared" si="1"/>
        <v>120</v>
      </c>
      <c r="L6" s="11">
        <f t="shared" si="2"/>
        <v>7.51E-2</v>
      </c>
      <c r="M6" s="8">
        <v>3</v>
      </c>
      <c r="N6" s="9">
        <f t="shared" si="3"/>
        <v>29689.260089666663</v>
      </c>
      <c r="O6" s="11">
        <f t="shared" si="4"/>
        <v>9.0119999999999992E-2</v>
      </c>
    </row>
    <row r="7" spans="1:15" x14ac:dyDescent="0.25">
      <c r="A7">
        <v>48061</v>
      </c>
      <c r="B7">
        <v>32349.86</v>
      </c>
      <c r="C7">
        <v>94.529839999999993</v>
      </c>
      <c r="D7">
        <v>93.901579999999996</v>
      </c>
      <c r="E7">
        <v>120</v>
      </c>
      <c r="F7">
        <v>6.9389999999999993E-2</v>
      </c>
      <c r="G7">
        <v>6.4890000000000003E-2</v>
      </c>
      <c r="H7" t="s">
        <v>9</v>
      </c>
      <c r="I7" s="8" t="s">
        <v>9</v>
      </c>
      <c r="J7" s="9">
        <f t="shared" si="0"/>
        <v>32349.86</v>
      </c>
      <c r="K7" s="8">
        <f t="shared" si="1"/>
        <v>120</v>
      </c>
      <c r="L7" s="11">
        <f t="shared" si="2"/>
        <v>6.7140000000000005E-2</v>
      </c>
      <c r="M7" s="8">
        <v>3</v>
      </c>
      <c r="N7" s="9">
        <f t="shared" si="3"/>
        <v>30151.147848666664</v>
      </c>
      <c r="O7" s="11">
        <f t="shared" si="4"/>
        <v>8.0568000000000001E-2</v>
      </c>
    </row>
    <row r="8" spans="1:15" x14ac:dyDescent="0.25">
      <c r="A8">
        <v>48055</v>
      </c>
      <c r="B8">
        <v>76.209999999999994</v>
      </c>
      <c r="C8">
        <v>49.657850000000003</v>
      </c>
      <c r="D8">
        <v>50.957189999999997</v>
      </c>
      <c r="E8">
        <v>50</v>
      </c>
      <c r="F8">
        <v>0.19664999999999999</v>
      </c>
      <c r="G8">
        <v>7.0800000000000002E-2</v>
      </c>
      <c r="H8" t="s">
        <v>14</v>
      </c>
      <c r="I8" s="8" t="s">
        <v>64</v>
      </c>
      <c r="J8" s="9">
        <f>B8+B9</f>
        <v>532.81000000000006</v>
      </c>
      <c r="K8" s="8">
        <f>MAX(E8:E9)</f>
        <v>50</v>
      </c>
      <c r="L8" s="11">
        <f>AVERAGE(F8:G9)</f>
        <v>0.10710499999999999</v>
      </c>
      <c r="M8" s="8">
        <v>1</v>
      </c>
      <c r="N8" s="9">
        <f t="shared" si="3"/>
        <v>494.49208083333343</v>
      </c>
      <c r="O8" s="11">
        <f t="shared" si="4"/>
        <v>0.12852599999999997</v>
      </c>
    </row>
    <row r="9" spans="1:15" x14ac:dyDescent="0.25">
      <c r="A9">
        <v>49272</v>
      </c>
      <c r="B9">
        <v>456.6</v>
      </c>
      <c r="C9">
        <v>51.65802</v>
      </c>
      <c r="D9">
        <v>51.175780000000003</v>
      </c>
      <c r="E9">
        <v>50</v>
      </c>
      <c r="F9">
        <v>0.14058999999999999</v>
      </c>
      <c r="G9">
        <v>2.0379999999999999E-2</v>
      </c>
      <c r="H9" t="s">
        <v>13</v>
      </c>
      <c r="I9" s="8"/>
      <c r="J9" s="9"/>
      <c r="K9" s="8"/>
      <c r="L9" s="11"/>
      <c r="M9" s="8"/>
      <c r="N9" s="8"/>
      <c r="O9" s="11"/>
    </row>
    <row r="10" spans="1:15" x14ac:dyDescent="0.25">
      <c r="A10">
        <v>49278</v>
      </c>
      <c r="B10">
        <v>200.91</v>
      </c>
      <c r="C10">
        <v>31.527560000000001</v>
      </c>
      <c r="D10">
        <v>32.878010000000003</v>
      </c>
      <c r="E10">
        <v>32</v>
      </c>
      <c r="F10">
        <v>0.10836999999999999</v>
      </c>
      <c r="G10">
        <v>2.1069999999999998E-2</v>
      </c>
      <c r="H10" t="s">
        <v>16</v>
      </c>
      <c r="I10" s="8" t="s">
        <v>66</v>
      </c>
      <c r="J10" s="9">
        <f>B10+B11</f>
        <v>873.79</v>
      </c>
      <c r="K10" s="8">
        <f>MAX(E10:E11)</f>
        <v>32</v>
      </c>
      <c r="L10" s="11">
        <f>AVERAGE(F10:G11)</f>
        <v>5.5484999999999993E-2</v>
      </c>
      <c r="M10" s="8">
        <v>1</v>
      </c>
      <c r="N10" s="9">
        <f t="shared" si="3"/>
        <v>810.94993583333326</v>
      </c>
      <c r="O10" s="11">
        <f t="shared" si="4"/>
        <v>6.6581999999999988E-2</v>
      </c>
    </row>
    <row r="11" spans="1:15" x14ac:dyDescent="0.25">
      <c r="A11">
        <v>49294</v>
      </c>
      <c r="B11">
        <v>672.88</v>
      </c>
      <c r="C11">
        <v>30.28941</v>
      </c>
      <c r="D11">
        <v>32.718029999999999</v>
      </c>
      <c r="E11">
        <v>32</v>
      </c>
      <c r="F11">
        <v>6.948E-2</v>
      </c>
      <c r="G11">
        <v>2.3019999999999999E-2</v>
      </c>
      <c r="H11" t="s">
        <v>15</v>
      </c>
      <c r="I11" s="8"/>
      <c r="J11" s="9"/>
      <c r="K11" s="8"/>
      <c r="L11" s="11"/>
      <c r="M11" s="8"/>
      <c r="N11" s="8"/>
      <c r="O11" s="11"/>
    </row>
    <row r="12" spans="1:15" x14ac:dyDescent="0.25">
      <c r="A12">
        <v>49291</v>
      </c>
      <c r="B12">
        <v>418.71</v>
      </c>
      <c r="C12">
        <v>33.537219999999998</v>
      </c>
      <c r="D12">
        <v>33.59178</v>
      </c>
      <c r="E12">
        <v>32</v>
      </c>
      <c r="F12">
        <v>6.3E-2</v>
      </c>
      <c r="G12">
        <v>2.0199999999999999E-2</v>
      </c>
      <c r="H12" t="s">
        <v>18</v>
      </c>
      <c r="I12" s="8" t="s">
        <v>67</v>
      </c>
      <c r="J12" s="9">
        <f>B12+B13</f>
        <v>1368.06</v>
      </c>
      <c r="K12" s="8">
        <f>MAX(E12:E13)</f>
        <v>32</v>
      </c>
      <c r="L12" s="11">
        <f>AVERAGE(F12:G13)</f>
        <v>3.8982499999999996E-2</v>
      </c>
      <c r="M12" s="8">
        <v>1</v>
      </c>
      <c r="N12" s="9">
        <f t="shared" si="3"/>
        <v>1269.673685</v>
      </c>
      <c r="O12" s="11">
        <f t="shared" si="4"/>
        <v>4.6778999999999994E-2</v>
      </c>
    </row>
    <row r="13" spans="1:15" x14ac:dyDescent="0.25">
      <c r="A13">
        <v>49304</v>
      </c>
      <c r="B13">
        <v>949.35</v>
      </c>
      <c r="C13">
        <v>33.60154</v>
      </c>
      <c r="D13">
        <v>34.107170000000004</v>
      </c>
      <c r="E13">
        <v>32</v>
      </c>
      <c r="F13">
        <v>5.2549999999999999E-2</v>
      </c>
      <c r="G13">
        <v>2.018E-2</v>
      </c>
      <c r="H13" t="s">
        <v>17</v>
      </c>
      <c r="I13" s="8"/>
      <c r="J13" s="9"/>
      <c r="K13" s="8"/>
      <c r="L13" s="11"/>
      <c r="M13" s="8"/>
      <c r="N13" s="8"/>
      <c r="O13" s="11"/>
    </row>
    <row r="14" spans="1:15" x14ac:dyDescent="0.25">
      <c r="A14">
        <v>5658</v>
      </c>
      <c r="B14">
        <v>1208.29</v>
      </c>
      <c r="C14">
        <v>27.873609999999999</v>
      </c>
      <c r="D14">
        <v>27.508179999999999</v>
      </c>
      <c r="E14">
        <v>32</v>
      </c>
      <c r="F14">
        <v>4.7960000000000003E-2</v>
      </c>
      <c r="G14">
        <v>1.8579999999999999E-2</v>
      </c>
      <c r="H14" t="s">
        <v>19</v>
      </c>
      <c r="I14" s="8" t="s">
        <v>65</v>
      </c>
      <c r="J14" s="9">
        <f>B14+B15</f>
        <v>1830.08</v>
      </c>
      <c r="K14" s="8">
        <f>MAX(E14:E15)</f>
        <v>32</v>
      </c>
      <c r="L14" s="11">
        <f>AVERAGE(F14:G15)</f>
        <v>3.653E-2</v>
      </c>
      <c r="M14" s="8">
        <v>1</v>
      </c>
      <c r="N14" s="9">
        <f t="shared" si="3"/>
        <v>1698.4667466666667</v>
      </c>
      <c r="O14" s="11">
        <f t="shared" si="4"/>
        <v>4.3836E-2</v>
      </c>
    </row>
    <row r="15" spans="1:15" x14ac:dyDescent="0.25">
      <c r="A15">
        <v>49307</v>
      </c>
      <c r="B15">
        <v>621.79</v>
      </c>
      <c r="C15">
        <v>33.397939999999998</v>
      </c>
      <c r="D15">
        <v>33.527479999999997</v>
      </c>
      <c r="E15">
        <v>32</v>
      </c>
      <c r="F15">
        <v>5.9790000000000003E-2</v>
      </c>
      <c r="G15">
        <v>1.9789999999999999E-2</v>
      </c>
      <c r="H15" t="s">
        <v>20</v>
      </c>
      <c r="I15" s="8"/>
      <c r="J15" s="9"/>
      <c r="K15" s="8"/>
      <c r="L15" s="11"/>
      <c r="M15" s="8"/>
      <c r="N15" s="8"/>
      <c r="O15" s="11"/>
    </row>
    <row r="16" spans="1:15" x14ac:dyDescent="0.25">
      <c r="A16">
        <v>4843</v>
      </c>
      <c r="B16">
        <v>1375.86</v>
      </c>
      <c r="C16">
        <v>51.695509999999999</v>
      </c>
      <c r="D16">
        <v>52.257089999999998</v>
      </c>
      <c r="E16">
        <v>50</v>
      </c>
      <c r="F16">
        <v>3.9129999999999998E-2</v>
      </c>
      <c r="G16">
        <v>1.1950000000000001E-2</v>
      </c>
      <c r="H16" t="s">
        <v>22</v>
      </c>
      <c r="I16" s="8" t="s">
        <v>93</v>
      </c>
      <c r="J16" s="9">
        <f>B16+B17</f>
        <v>3095.3</v>
      </c>
      <c r="K16" s="8">
        <f>MAX(E16:E17)</f>
        <v>50</v>
      </c>
      <c r="L16" s="11">
        <f>AVERAGE(F16:G17)</f>
        <v>1.9262500000000002E-2</v>
      </c>
      <c r="M16" s="8">
        <v>1</v>
      </c>
      <c r="N16" s="9">
        <f t="shared" si="3"/>
        <v>2872.6963416666667</v>
      </c>
      <c r="O16" s="11">
        <f t="shared" si="4"/>
        <v>2.3115E-2</v>
      </c>
    </row>
    <row r="17" spans="1:15" x14ac:dyDescent="0.25">
      <c r="A17">
        <v>47962</v>
      </c>
      <c r="B17">
        <v>1719.44</v>
      </c>
      <c r="C17">
        <v>47.698889999999999</v>
      </c>
      <c r="D17">
        <v>51.00855</v>
      </c>
      <c r="E17">
        <v>50</v>
      </c>
      <c r="F17">
        <v>1.059E-2</v>
      </c>
      <c r="G17">
        <v>1.538E-2</v>
      </c>
      <c r="H17" t="s">
        <v>21</v>
      </c>
      <c r="I17" s="8"/>
      <c r="J17" s="9"/>
      <c r="K17" s="8"/>
      <c r="L17" s="11"/>
      <c r="M17" s="8"/>
      <c r="N17" s="8"/>
      <c r="O17" s="11"/>
    </row>
    <row r="18" spans="1:15" x14ac:dyDescent="0.25">
      <c r="A18">
        <v>3097</v>
      </c>
      <c r="B18">
        <v>2308.3200000000002</v>
      </c>
      <c r="C18">
        <v>48.263120000000001</v>
      </c>
      <c r="D18">
        <v>45.098280000000003</v>
      </c>
      <c r="E18">
        <v>50</v>
      </c>
      <c r="F18">
        <v>1.8720000000000001E-2</v>
      </c>
      <c r="G18">
        <v>1.6289999999999999E-2</v>
      </c>
      <c r="H18" t="s">
        <v>23</v>
      </c>
      <c r="I18" s="8" t="s">
        <v>94</v>
      </c>
      <c r="J18" s="9">
        <f>B18+B19</f>
        <v>4865.83</v>
      </c>
      <c r="K18" s="8">
        <f>MAX(E18:E19)</f>
        <v>50</v>
      </c>
      <c r="L18" s="11">
        <f>AVERAGE(F18:G19)</f>
        <v>2.3590000000000003E-2</v>
      </c>
      <c r="M18" s="8">
        <v>1</v>
      </c>
      <c r="N18" s="9">
        <f t="shared" si="3"/>
        <v>4515.8957258333339</v>
      </c>
      <c r="O18" s="11">
        <f t="shared" si="4"/>
        <v>2.8308000000000003E-2</v>
      </c>
    </row>
    <row r="19" spans="1:15" x14ac:dyDescent="0.25">
      <c r="A19">
        <v>48211</v>
      </c>
      <c r="B19">
        <v>2557.5100000000002</v>
      </c>
      <c r="C19">
        <v>43.985149999999997</v>
      </c>
      <c r="D19">
        <v>43.610050000000001</v>
      </c>
      <c r="E19">
        <v>50</v>
      </c>
      <c r="F19">
        <v>4.3900000000000002E-2</v>
      </c>
      <c r="G19">
        <v>1.545E-2</v>
      </c>
      <c r="H19" t="s">
        <v>24</v>
      </c>
      <c r="I19" s="8"/>
      <c r="J19" s="9"/>
      <c r="K19" s="8"/>
      <c r="L19" s="11"/>
      <c r="M19" s="8"/>
      <c r="N19" s="8"/>
      <c r="O19" s="11"/>
    </row>
    <row r="20" spans="1:15" x14ac:dyDescent="0.25">
      <c r="A20">
        <v>43145</v>
      </c>
      <c r="B20">
        <v>2750.85</v>
      </c>
      <c r="C20">
        <v>49.938209999999998</v>
      </c>
      <c r="D20">
        <v>49.815640000000002</v>
      </c>
      <c r="E20">
        <v>50</v>
      </c>
      <c r="F20">
        <v>1.8519999999999998E-2</v>
      </c>
      <c r="G20">
        <v>1.465E-2</v>
      </c>
      <c r="H20" t="s">
        <v>26</v>
      </c>
      <c r="I20" s="8" t="s">
        <v>90</v>
      </c>
      <c r="J20" s="9">
        <f>B20+B21</f>
        <v>6028.23</v>
      </c>
      <c r="K20" s="8">
        <f>MAX(E20:E21)</f>
        <v>50</v>
      </c>
      <c r="L20" s="11">
        <f>AVERAGE(F20:G21)</f>
        <v>2.46625E-2</v>
      </c>
      <c r="M20" s="8">
        <v>1</v>
      </c>
      <c r="N20" s="9">
        <f t="shared" si="3"/>
        <v>5594.6997924999996</v>
      </c>
      <c r="O20" s="11">
        <f t="shared" si="4"/>
        <v>2.9595E-2</v>
      </c>
    </row>
    <row r="21" spans="1:15" x14ac:dyDescent="0.25">
      <c r="A21">
        <v>49907</v>
      </c>
      <c r="B21">
        <v>3277.38</v>
      </c>
      <c r="C21">
        <v>48.780589999999997</v>
      </c>
      <c r="D21">
        <v>50.034230000000001</v>
      </c>
      <c r="E21">
        <v>50</v>
      </c>
      <c r="F21">
        <v>4.5580000000000002E-2</v>
      </c>
      <c r="G21">
        <v>1.9900000000000001E-2</v>
      </c>
      <c r="H21" t="s">
        <v>25</v>
      </c>
      <c r="I21" s="8"/>
      <c r="J21" s="9"/>
      <c r="K21" s="8"/>
      <c r="L21" s="11"/>
      <c r="M21" s="8"/>
      <c r="N21" s="8"/>
      <c r="O21" s="11"/>
    </row>
    <row r="22" spans="1:15" x14ac:dyDescent="0.25">
      <c r="A22">
        <v>5661</v>
      </c>
      <c r="B22">
        <v>3283.87</v>
      </c>
      <c r="C22">
        <v>52.913919999999997</v>
      </c>
      <c r="D22">
        <v>52.826700000000002</v>
      </c>
      <c r="E22">
        <v>50</v>
      </c>
      <c r="F22">
        <v>4.5600000000000002E-2</v>
      </c>
      <c r="G22">
        <v>1.967E-2</v>
      </c>
      <c r="H22" t="s">
        <v>28</v>
      </c>
      <c r="I22" s="8" t="s">
        <v>91</v>
      </c>
      <c r="J22" s="9">
        <f>B22+B23</f>
        <v>6053.12</v>
      </c>
      <c r="K22" s="8">
        <f>MAX(E22:E23)</f>
        <v>50</v>
      </c>
      <c r="L22" s="11">
        <f>AVERAGE(F22:G23)</f>
        <v>2.452E-2</v>
      </c>
      <c r="M22" s="8">
        <v>1</v>
      </c>
      <c r="N22" s="9">
        <f t="shared" si="3"/>
        <v>5617.7997866666665</v>
      </c>
      <c r="O22" s="11">
        <f t="shared" si="4"/>
        <v>2.9423999999999999E-2</v>
      </c>
    </row>
    <row r="23" spans="1:15" x14ac:dyDescent="0.25">
      <c r="A23">
        <v>49904</v>
      </c>
      <c r="B23">
        <v>2769.25</v>
      </c>
      <c r="C23">
        <v>51.717129999999997</v>
      </c>
      <c r="D23">
        <v>52.347259999999999</v>
      </c>
      <c r="E23">
        <v>50</v>
      </c>
      <c r="F23">
        <v>1.8319999999999999E-2</v>
      </c>
      <c r="G23">
        <v>1.4489999999999999E-2</v>
      </c>
      <c r="H23" t="s">
        <v>27</v>
      </c>
      <c r="I23" s="8"/>
      <c r="J23" s="9"/>
      <c r="K23" s="8"/>
      <c r="L23" s="11"/>
      <c r="M23" s="8"/>
      <c r="N23" s="8"/>
      <c r="O23" s="11"/>
    </row>
    <row r="24" spans="1:15" x14ac:dyDescent="0.25">
      <c r="A24">
        <v>5660</v>
      </c>
      <c r="B24">
        <v>2766.44</v>
      </c>
      <c r="C24">
        <v>66.273780000000002</v>
      </c>
      <c r="D24">
        <v>67.018839999999997</v>
      </c>
      <c r="E24">
        <v>64</v>
      </c>
      <c r="F24">
        <v>1.823E-2</v>
      </c>
      <c r="G24">
        <v>1.448E-2</v>
      </c>
      <c r="H24" t="s">
        <v>29</v>
      </c>
      <c r="I24" s="8" t="s">
        <v>92</v>
      </c>
      <c r="J24" s="9">
        <f>B24+B25</f>
        <v>6046.85</v>
      </c>
      <c r="K24" s="8">
        <f>MAX(E24:E25)</f>
        <v>64</v>
      </c>
      <c r="L24" s="11">
        <f>AVERAGE(F24:G25)</f>
        <v>2.4375000000000001E-2</v>
      </c>
      <c r="M24" s="8">
        <v>1</v>
      </c>
      <c r="N24" s="9">
        <f t="shared" si="3"/>
        <v>5611.9807041666672</v>
      </c>
      <c r="O24" s="11">
        <f t="shared" si="4"/>
        <v>2.9249999999999998E-2</v>
      </c>
    </row>
    <row r="25" spans="1:15" x14ac:dyDescent="0.25">
      <c r="A25">
        <v>43142</v>
      </c>
      <c r="B25">
        <v>3280.41</v>
      </c>
      <c r="C25">
        <v>64.91592</v>
      </c>
      <c r="D25">
        <v>64.833740000000006</v>
      </c>
      <c r="E25">
        <v>64</v>
      </c>
      <c r="F25">
        <v>4.5100000000000001E-2</v>
      </c>
      <c r="G25">
        <v>1.9689999999999999E-2</v>
      </c>
      <c r="H25" t="s">
        <v>30</v>
      </c>
      <c r="I25" s="8"/>
      <c r="J25" s="9"/>
      <c r="K25" s="8"/>
      <c r="L25" s="11"/>
      <c r="M25" s="8"/>
      <c r="N25" s="8"/>
      <c r="O25" s="11"/>
    </row>
    <row r="26" spans="1:15" x14ac:dyDescent="0.25">
      <c r="A26">
        <v>3374</v>
      </c>
      <c r="B26">
        <v>366.32</v>
      </c>
      <c r="C26">
        <v>39.397280000000002</v>
      </c>
      <c r="D26">
        <v>40.359400000000001</v>
      </c>
      <c r="E26">
        <v>48</v>
      </c>
      <c r="F26">
        <v>0.12064999999999999</v>
      </c>
      <c r="G26">
        <v>0.10084</v>
      </c>
      <c r="H26" t="s">
        <v>53</v>
      </c>
      <c r="I26" s="8" t="s">
        <v>53</v>
      </c>
      <c r="J26" s="9">
        <f>B26+B27</f>
        <v>928.56999999999994</v>
      </c>
      <c r="K26" s="8">
        <f>MAX(E26:E27)</f>
        <v>48</v>
      </c>
      <c r="L26" s="11">
        <f>AVERAGE(F26:G27)</f>
        <v>0.1140475</v>
      </c>
      <c r="M26" s="8">
        <v>1</v>
      </c>
      <c r="N26" s="9">
        <f t="shared" si="3"/>
        <v>861.79034083333318</v>
      </c>
      <c r="O26" s="11">
        <f t="shared" si="4"/>
        <v>0.13685699999999998</v>
      </c>
    </row>
    <row r="27" spans="1:15" x14ac:dyDescent="0.25">
      <c r="A27">
        <v>3375</v>
      </c>
      <c r="B27">
        <v>562.25</v>
      </c>
      <c r="C27">
        <v>47.255119999999998</v>
      </c>
      <c r="D27">
        <v>47.30444</v>
      </c>
      <c r="E27">
        <v>48</v>
      </c>
      <c r="F27">
        <v>0.10532999999999999</v>
      </c>
      <c r="G27">
        <v>0.12937000000000001</v>
      </c>
      <c r="H27" t="s">
        <v>54</v>
      </c>
      <c r="I27" s="8"/>
      <c r="J27" s="9"/>
      <c r="K27" s="8"/>
      <c r="L27" s="11"/>
      <c r="M27" s="8"/>
      <c r="N27" s="8"/>
      <c r="O27" s="11"/>
    </row>
    <row r="28" spans="1:15" x14ac:dyDescent="0.25">
      <c r="A28">
        <v>300834</v>
      </c>
      <c r="B28">
        <v>13565.24</v>
      </c>
      <c r="C28">
        <v>79.476699999999994</v>
      </c>
      <c r="D28">
        <v>78.937659999999994</v>
      </c>
      <c r="E28">
        <v>80</v>
      </c>
      <c r="F28">
        <v>5.1429999999999997E-2</v>
      </c>
      <c r="G28">
        <v>1.418E-2</v>
      </c>
      <c r="H28" t="s">
        <v>52</v>
      </c>
      <c r="I28" s="8" t="s">
        <v>70</v>
      </c>
      <c r="J28" s="9">
        <f>B28+B29</f>
        <v>27626.699999999997</v>
      </c>
      <c r="K28" s="8">
        <f>MAX(E28:E29)</f>
        <v>80</v>
      </c>
      <c r="L28" s="11">
        <f>AVERAGE(F28:G29)</f>
        <v>3.1055000000000003E-2</v>
      </c>
      <c r="M28" s="8">
        <v>3</v>
      </c>
      <c r="N28" s="9">
        <f t="shared" si="3"/>
        <v>25749.005290000001</v>
      </c>
      <c r="O28" s="11">
        <f t="shared" si="4"/>
        <v>3.7266000000000001E-2</v>
      </c>
    </row>
    <row r="29" spans="1:15" x14ac:dyDescent="0.25">
      <c r="A29">
        <v>300842</v>
      </c>
      <c r="B29">
        <v>14061.46</v>
      </c>
      <c r="C29">
        <v>78.834000000000003</v>
      </c>
      <c r="D29">
        <v>80.682959999999994</v>
      </c>
      <c r="E29">
        <v>80</v>
      </c>
      <c r="F29">
        <v>3.2480000000000002E-2</v>
      </c>
      <c r="G29">
        <v>2.613E-2</v>
      </c>
      <c r="H29" t="s">
        <v>51</v>
      </c>
      <c r="I29" s="8"/>
      <c r="J29" s="9"/>
      <c r="K29" s="8"/>
      <c r="L29" s="11"/>
      <c r="M29" s="8"/>
      <c r="N29" s="8"/>
      <c r="O29" s="11"/>
    </row>
    <row r="30" spans="1:15" x14ac:dyDescent="0.25">
      <c r="A30">
        <v>5657</v>
      </c>
      <c r="B30">
        <v>360.26</v>
      </c>
      <c r="C30">
        <v>79.485280000000003</v>
      </c>
      <c r="D30">
        <v>80.121390000000005</v>
      </c>
      <c r="E30">
        <v>80</v>
      </c>
      <c r="F30">
        <v>0.11445</v>
      </c>
      <c r="G30">
        <v>6.3210000000000002E-2</v>
      </c>
      <c r="H30" t="s">
        <v>36</v>
      </c>
      <c r="I30" s="8" t="s">
        <v>36</v>
      </c>
      <c r="J30" s="9">
        <f>B30+B31</f>
        <v>538.22</v>
      </c>
      <c r="K30" s="8">
        <f>MAX(E30:E31)</f>
        <v>80</v>
      </c>
      <c r="L30" s="11">
        <f>AVERAGE(F30:G31)</f>
        <v>0.1032925</v>
      </c>
      <c r="M30" s="8">
        <v>1</v>
      </c>
      <c r="N30" s="9">
        <f t="shared" si="3"/>
        <v>499.51301166666678</v>
      </c>
      <c r="O30" s="11">
        <f t="shared" si="4"/>
        <v>0.12395099999999999</v>
      </c>
    </row>
    <row r="31" spans="1:15" x14ac:dyDescent="0.25">
      <c r="A31">
        <v>47986</v>
      </c>
      <c r="B31">
        <v>177.96</v>
      </c>
      <c r="C31">
        <v>83.855170000000001</v>
      </c>
      <c r="D31">
        <v>84.00797</v>
      </c>
      <c r="E31">
        <v>80</v>
      </c>
      <c r="F31">
        <v>0.12773000000000001</v>
      </c>
      <c r="G31">
        <v>0.10778</v>
      </c>
      <c r="H31" t="s">
        <v>35</v>
      </c>
      <c r="I31" s="8"/>
      <c r="J31" s="9"/>
      <c r="K31" s="8"/>
      <c r="L31" s="11"/>
      <c r="M31" s="8"/>
      <c r="N31" s="8"/>
      <c r="O31" s="11"/>
    </row>
    <row r="32" spans="1:15" x14ac:dyDescent="0.25">
      <c r="A32">
        <v>455</v>
      </c>
      <c r="B32">
        <v>499.25</v>
      </c>
      <c r="C32">
        <v>30.709900000000001</v>
      </c>
      <c r="D32">
        <v>30.91703</v>
      </c>
      <c r="E32">
        <v>32</v>
      </c>
      <c r="F32">
        <v>6.6320000000000004E-2</v>
      </c>
      <c r="G32">
        <v>5.2400000000000002E-2</v>
      </c>
      <c r="H32" t="s">
        <v>44</v>
      </c>
      <c r="I32" s="8" t="s">
        <v>59</v>
      </c>
      <c r="J32" s="9">
        <f>B32+B33</f>
        <v>852.79</v>
      </c>
      <c r="K32" s="8">
        <f>MAX(E32:E33)</f>
        <v>32</v>
      </c>
      <c r="L32" s="11">
        <f>AVERAGE(F32:G33)</f>
        <v>5.9075000000000003E-2</v>
      </c>
      <c r="M32" s="8">
        <v>1</v>
      </c>
      <c r="N32" s="9">
        <f t="shared" si="3"/>
        <v>791.4601858333333</v>
      </c>
      <c r="O32" s="11">
        <f t="shared" si="4"/>
        <v>7.0889999999999995E-2</v>
      </c>
    </row>
    <row r="33" spans="1:15" x14ac:dyDescent="0.25">
      <c r="A33">
        <v>478</v>
      </c>
      <c r="B33">
        <v>353.54</v>
      </c>
      <c r="C33">
        <v>34.020359999999997</v>
      </c>
      <c r="D33">
        <v>34.624890000000001</v>
      </c>
      <c r="E33">
        <v>32</v>
      </c>
      <c r="F33">
        <v>8.1799999999999998E-2</v>
      </c>
      <c r="G33">
        <v>3.5779999999999999E-2</v>
      </c>
      <c r="H33" t="s">
        <v>43</v>
      </c>
      <c r="I33" s="8"/>
      <c r="J33" s="9"/>
      <c r="K33" s="8"/>
      <c r="L33" s="11"/>
      <c r="M33" s="8"/>
      <c r="N33" s="8"/>
      <c r="O33" s="11"/>
    </row>
    <row r="34" spans="1:15" x14ac:dyDescent="0.25">
      <c r="A34">
        <v>49317</v>
      </c>
      <c r="B34">
        <v>350.73</v>
      </c>
      <c r="C34">
        <v>20.350639999999999</v>
      </c>
      <c r="D34">
        <v>20.496420000000001</v>
      </c>
      <c r="E34">
        <v>32</v>
      </c>
      <c r="F34">
        <v>8.2989999999999994E-2</v>
      </c>
      <c r="G34">
        <v>6.3549999999999995E-2</v>
      </c>
      <c r="H34" t="s">
        <v>45</v>
      </c>
      <c r="I34" s="8" t="s">
        <v>71</v>
      </c>
      <c r="J34" s="9">
        <f>B34+B35</f>
        <v>567.23</v>
      </c>
      <c r="K34" s="8">
        <f>MAX(E34:E35)</f>
        <v>32</v>
      </c>
      <c r="L34" s="11">
        <f>AVERAGE(F34:G35)</f>
        <v>6.0230000000000006E-2</v>
      </c>
      <c r="M34" s="8">
        <v>1</v>
      </c>
      <c r="N34" s="9">
        <f t="shared" si="3"/>
        <v>526.43670916666679</v>
      </c>
      <c r="O34" s="11">
        <f t="shared" si="4"/>
        <v>7.2276000000000007E-2</v>
      </c>
    </row>
    <row r="35" spans="1:15" x14ac:dyDescent="0.25">
      <c r="A35">
        <v>49896</v>
      </c>
      <c r="B35">
        <v>216.5</v>
      </c>
      <c r="C35">
        <v>16.858360000000001</v>
      </c>
      <c r="D35">
        <v>17.004110000000001</v>
      </c>
      <c r="E35">
        <v>32</v>
      </c>
      <c r="F35">
        <v>5.074E-2</v>
      </c>
      <c r="G35">
        <v>4.3639999999999998E-2</v>
      </c>
      <c r="H35" t="s">
        <v>46</v>
      </c>
      <c r="I35" s="8"/>
      <c r="J35" s="9"/>
      <c r="K35" s="8"/>
      <c r="L35" s="11"/>
      <c r="M35" s="8"/>
      <c r="N35" s="8"/>
      <c r="O35" s="11"/>
    </row>
    <row r="36" spans="1:15" x14ac:dyDescent="0.25">
      <c r="A36">
        <v>49318</v>
      </c>
      <c r="B36">
        <v>229.06</v>
      </c>
      <c r="C36">
        <v>26.452739999999999</v>
      </c>
      <c r="D36">
        <v>26.518609999999999</v>
      </c>
      <c r="E36">
        <v>32</v>
      </c>
      <c r="F36">
        <v>5.1999999999999998E-2</v>
      </c>
      <c r="G36">
        <v>4.122E-2</v>
      </c>
      <c r="H36" t="s">
        <v>47</v>
      </c>
      <c r="I36" s="8" t="s">
        <v>68</v>
      </c>
      <c r="J36" s="9">
        <f>B36+B37</f>
        <v>585.85</v>
      </c>
      <c r="K36" s="8">
        <f>MAX(E36:E37)</f>
        <v>32</v>
      </c>
      <c r="L36" s="11">
        <f>AVERAGE(F36:G37)</f>
        <v>6.2772499999999995E-2</v>
      </c>
      <c r="M36" s="8">
        <v>1</v>
      </c>
      <c r="N36" s="9">
        <f t="shared" si="3"/>
        <v>543.71762083333329</v>
      </c>
      <c r="O36" s="11">
        <f t="shared" si="4"/>
        <v>7.5326999999999991E-2</v>
      </c>
    </row>
    <row r="37" spans="1:15" x14ac:dyDescent="0.25">
      <c r="A37">
        <v>49893</v>
      </c>
      <c r="B37">
        <v>356.79</v>
      </c>
      <c r="C37">
        <v>13.39484</v>
      </c>
      <c r="D37">
        <v>13.51685</v>
      </c>
      <c r="E37">
        <v>32</v>
      </c>
      <c r="F37">
        <v>8.6440000000000003E-2</v>
      </c>
      <c r="G37">
        <v>7.1429999999999993E-2</v>
      </c>
      <c r="H37" t="s">
        <v>48</v>
      </c>
      <c r="I37" s="8"/>
      <c r="J37" s="9"/>
      <c r="K37" s="8"/>
      <c r="L37" s="11"/>
      <c r="M37" s="8"/>
      <c r="N37" s="8"/>
      <c r="O37" s="11"/>
    </row>
    <row r="38" spans="1:15" x14ac:dyDescent="0.25">
      <c r="A38">
        <v>48177</v>
      </c>
      <c r="B38">
        <v>74.260000000000005</v>
      </c>
      <c r="C38">
        <v>53.064039999999999</v>
      </c>
      <c r="D38">
        <v>54.000950000000003</v>
      </c>
      <c r="E38">
        <v>50</v>
      </c>
      <c r="F38">
        <v>3.9199999999999999E-3</v>
      </c>
      <c r="G38">
        <v>0</v>
      </c>
      <c r="H38" t="s">
        <v>50</v>
      </c>
      <c r="I38" s="8" t="s">
        <v>72</v>
      </c>
      <c r="J38" s="9">
        <f>B38+B39</f>
        <v>147.44</v>
      </c>
      <c r="K38" s="8">
        <f>MAX(E38:E39)</f>
        <v>50</v>
      </c>
      <c r="L38" s="11">
        <f>AVERAGE(F38:G39)</f>
        <v>2.9175E-3</v>
      </c>
      <c r="M38" s="8">
        <v>1</v>
      </c>
      <c r="N38" s="9">
        <f t="shared" si="3"/>
        <v>136.83660666666665</v>
      </c>
      <c r="O38" s="11">
        <f t="shared" si="4"/>
        <v>3.5009999999999998E-3</v>
      </c>
    </row>
    <row r="39" spans="1:15" x14ac:dyDescent="0.25">
      <c r="A39">
        <v>48178</v>
      </c>
      <c r="B39">
        <v>73.180000000000007</v>
      </c>
      <c r="C39">
        <v>53.804510000000001</v>
      </c>
      <c r="D39">
        <v>54.46913</v>
      </c>
      <c r="E39">
        <v>50</v>
      </c>
      <c r="F39">
        <v>7.7499999999999999E-3</v>
      </c>
      <c r="G39">
        <v>0</v>
      </c>
      <c r="H39" t="s">
        <v>49</v>
      </c>
      <c r="I39" s="8"/>
      <c r="J39" s="9"/>
      <c r="K39" s="8"/>
      <c r="L39" s="11"/>
      <c r="M39" s="8"/>
      <c r="N39" s="8"/>
      <c r="O39" s="11"/>
    </row>
    <row r="40" spans="1:15" x14ac:dyDescent="0.25">
      <c r="A40">
        <v>49265</v>
      </c>
      <c r="B40">
        <v>333.41</v>
      </c>
      <c r="C40">
        <v>27.812059999999999</v>
      </c>
      <c r="D40">
        <v>28.287739999999999</v>
      </c>
      <c r="E40">
        <v>32</v>
      </c>
      <c r="F40">
        <v>7.9589999999999994E-2</v>
      </c>
      <c r="G40">
        <v>2.002E-2</v>
      </c>
      <c r="H40" t="s">
        <v>40</v>
      </c>
      <c r="I40" s="8" t="s">
        <v>60</v>
      </c>
      <c r="J40" s="9">
        <f>B40+B41</f>
        <v>607.72</v>
      </c>
      <c r="K40" s="8">
        <f>MAX(E40:E41)</f>
        <v>32</v>
      </c>
      <c r="L40" s="11">
        <f>AVERAGE(F40:G41)</f>
        <v>5.3502499999999995E-2</v>
      </c>
      <c r="M40" s="8">
        <v>1</v>
      </c>
      <c r="N40" s="9">
        <f t="shared" si="3"/>
        <v>564.01480333333336</v>
      </c>
      <c r="O40" s="11">
        <f t="shared" si="4"/>
        <v>6.4202999999999996E-2</v>
      </c>
    </row>
    <row r="41" spans="1:15" x14ac:dyDescent="0.25">
      <c r="A41">
        <v>49266</v>
      </c>
      <c r="B41">
        <v>274.31</v>
      </c>
      <c r="C41">
        <v>29.476590000000002</v>
      </c>
      <c r="D41">
        <v>29.808119999999999</v>
      </c>
      <c r="E41">
        <v>32</v>
      </c>
      <c r="F41">
        <v>8.6209999999999995E-2</v>
      </c>
      <c r="G41">
        <v>2.819E-2</v>
      </c>
      <c r="H41" t="s">
        <v>39</v>
      </c>
      <c r="I41" s="8"/>
      <c r="J41" s="9"/>
      <c r="K41" s="8"/>
      <c r="L41" s="11"/>
      <c r="M41" s="8"/>
      <c r="N41" s="8"/>
      <c r="O41" s="11"/>
    </row>
    <row r="42" spans="1:15" x14ac:dyDescent="0.25">
      <c r="A42">
        <v>49267</v>
      </c>
      <c r="B42">
        <v>236.2</v>
      </c>
      <c r="C42">
        <v>31.864409999999999</v>
      </c>
      <c r="D42">
        <v>31.510860000000001</v>
      </c>
      <c r="E42">
        <v>32</v>
      </c>
      <c r="F42">
        <v>0.11133999999999999</v>
      </c>
      <c r="G42">
        <v>3.6299999999999999E-2</v>
      </c>
      <c r="H42" t="s">
        <v>38</v>
      </c>
      <c r="I42" s="8" t="s">
        <v>61</v>
      </c>
      <c r="J42" s="9">
        <f>B42+B43</f>
        <v>563.54999999999995</v>
      </c>
      <c r="K42" s="8">
        <f>MAX(E42:E43)</f>
        <v>32</v>
      </c>
      <c r="L42" s="11">
        <f>AVERAGE(F42:G43)</f>
        <v>6.7012499999999989E-2</v>
      </c>
      <c r="M42" s="8">
        <v>1</v>
      </c>
      <c r="N42" s="9">
        <f t="shared" si="3"/>
        <v>523.02136250000001</v>
      </c>
      <c r="O42" s="11">
        <f t="shared" si="4"/>
        <v>8.0414999999999986E-2</v>
      </c>
    </row>
    <row r="43" spans="1:15" x14ac:dyDescent="0.25">
      <c r="A43">
        <v>49268</v>
      </c>
      <c r="B43">
        <v>327.35000000000002</v>
      </c>
      <c r="C43">
        <v>29.39518</v>
      </c>
      <c r="D43">
        <v>29.551580000000001</v>
      </c>
      <c r="E43">
        <v>32</v>
      </c>
      <c r="F43">
        <v>7.3529999999999998E-2</v>
      </c>
      <c r="G43">
        <v>4.6879999999999998E-2</v>
      </c>
      <c r="H43" t="s">
        <v>37</v>
      </c>
      <c r="I43" s="8"/>
      <c r="J43" s="9"/>
      <c r="K43" s="8"/>
      <c r="L43" s="11"/>
      <c r="M43" s="8"/>
      <c r="N43" s="8"/>
      <c r="O43" s="11"/>
    </row>
    <row r="44" spans="1:15" x14ac:dyDescent="0.25">
      <c r="A44">
        <v>49270</v>
      </c>
      <c r="B44">
        <v>288.58999999999997</v>
      </c>
      <c r="C44">
        <v>24.96677</v>
      </c>
      <c r="D44">
        <v>25.06531</v>
      </c>
      <c r="E44">
        <v>32</v>
      </c>
      <c r="F44">
        <v>5.8020000000000002E-2</v>
      </c>
      <c r="G44">
        <v>3.4810000000000001E-2</v>
      </c>
      <c r="H44" t="s">
        <v>41</v>
      </c>
      <c r="I44" s="8" t="s">
        <v>62</v>
      </c>
      <c r="J44" s="9">
        <f>B44+B45</f>
        <v>521.32999999999993</v>
      </c>
      <c r="K44" s="8">
        <f>MAX(E44:E45)</f>
        <v>32</v>
      </c>
      <c r="L44" s="11">
        <f>AVERAGE(F44:G45)</f>
        <v>5.4974999999999996E-2</v>
      </c>
      <c r="M44" s="8">
        <v>1</v>
      </c>
      <c r="N44" s="9">
        <f t="shared" si="3"/>
        <v>483.83768416666658</v>
      </c>
      <c r="O44" s="11">
        <f t="shared" si="4"/>
        <v>6.5969999999999987E-2</v>
      </c>
    </row>
    <row r="45" spans="1:15" x14ac:dyDescent="0.25">
      <c r="A45">
        <v>49271</v>
      </c>
      <c r="B45">
        <v>232.74</v>
      </c>
      <c r="C45">
        <v>29.036200000000001</v>
      </c>
      <c r="D45">
        <v>29.345970000000001</v>
      </c>
      <c r="E45">
        <v>32</v>
      </c>
      <c r="F45">
        <v>7.8789999999999999E-2</v>
      </c>
      <c r="G45">
        <v>4.8280000000000003E-2</v>
      </c>
      <c r="H45" t="s">
        <v>42</v>
      </c>
      <c r="I45" s="8"/>
      <c r="J45" s="9"/>
      <c r="K45" s="8"/>
      <c r="L45" s="11"/>
      <c r="M45" s="8"/>
      <c r="N45" s="8"/>
      <c r="O45" s="11"/>
    </row>
    <row r="46" spans="1:15" x14ac:dyDescent="0.25">
      <c r="A46">
        <v>49902</v>
      </c>
      <c r="B46">
        <v>13.64</v>
      </c>
      <c r="C46">
        <v>29.6721</v>
      </c>
      <c r="D46">
        <v>32.6541</v>
      </c>
      <c r="E46">
        <v>32</v>
      </c>
      <c r="F46">
        <v>8.6959999999999996E-2</v>
      </c>
      <c r="G46">
        <v>2.5000000000000001E-2</v>
      </c>
      <c r="H46" t="s">
        <v>32</v>
      </c>
      <c r="I46" s="8" t="s">
        <v>73</v>
      </c>
      <c r="J46" s="9">
        <f>B46+B47</f>
        <v>29.88</v>
      </c>
      <c r="K46" s="8">
        <f>MAX(E46:E47)</f>
        <v>32</v>
      </c>
      <c r="L46" s="11">
        <f>AVERAGE(F46:G47)</f>
        <v>0.11518500000000001</v>
      </c>
      <c r="M46" s="8">
        <v>1</v>
      </c>
      <c r="N46" s="9">
        <f t="shared" si="3"/>
        <v>27.731129999999993</v>
      </c>
      <c r="O46" s="11">
        <f t="shared" si="4"/>
        <v>0.13822200000000001</v>
      </c>
    </row>
    <row r="47" spans="1:15" x14ac:dyDescent="0.25">
      <c r="A47">
        <v>49892</v>
      </c>
      <c r="B47">
        <v>16.239999999999998</v>
      </c>
      <c r="C47">
        <v>19.797029999999999</v>
      </c>
      <c r="D47">
        <v>24.023330000000001</v>
      </c>
      <c r="E47">
        <v>32</v>
      </c>
      <c r="F47">
        <v>0.17857000000000001</v>
      </c>
      <c r="G47">
        <v>0.17021</v>
      </c>
      <c r="H47" t="s">
        <v>31</v>
      </c>
      <c r="I47" s="8"/>
      <c r="J47" s="9"/>
      <c r="K47" s="8"/>
      <c r="L47" s="11"/>
      <c r="M47" s="8"/>
      <c r="N47" s="8"/>
      <c r="O47" s="11"/>
    </row>
    <row r="48" spans="1:15" x14ac:dyDescent="0.25">
      <c r="A48">
        <v>49899</v>
      </c>
      <c r="B48">
        <v>18.190000000000001</v>
      </c>
      <c r="C48">
        <v>32.863959999999999</v>
      </c>
      <c r="D48">
        <v>33.287419999999997</v>
      </c>
      <c r="E48">
        <v>32</v>
      </c>
      <c r="F48">
        <v>0</v>
      </c>
      <c r="G48">
        <v>0</v>
      </c>
      <c r="H48" t="s">
        <v>33</v>
      </c>
      <c r="I48" s="8" t="s">
        <v>74</v>
      </c>
      <c r="J48" s="9">
        <f>B48+B49</f>
        <v>27.07</v>
      </c>
      <c r="K48" s="8">
        <f>MAX(E48:E49)</f>
        <v>32</v>
      </c>
      <c r="L48" s="11">
        <f>AVERAGE(F48:G49)</f>
        <v>0</v>
      </c>
      <c r="M48" s="8">
        <v>1</v>
      </c>
      <c r="N48" s="9">
        <f t="shared" si="3"/>
        <v>25.123215833333337</v>
      </c>
      <c r="O48" s="11">
        <f t="shared" si="4"/>
        <v>0</v>
      </c>
    </row>
    <row r="49" spans="1:8" x14ac:dyDescent="0.25">
      <c r="A49">
        <v>49903</v>
      </c>
      <c r="B49">
        <v>8.8800000000000008</v>
      </c>
      <c r="C49">
        <v>30.15185</v>
      </c>
      <c r="D49">
        <v>31.380320000000001</v>
      </c>
      <c r="E49">
        <v>32</v>
      </c>
      <c r="F49">
        <v>0</v>
      </c>
      <c r="G49">
        <v>0</v>
      </c>
      <c r="H49" t="s">
        <v>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EF363-ADBD-4B2F-949C-3AA4D12D6753}">
  <sheetPr codeName="Sheet6">
    <tabColor theme="8"/>
  </sheetPr>
  <dimension ref="A1:P57"/>
  <sheetViews>
    <sheetView tabSelected="1" topLeftCell="A31" workbookViewId="0">
      <selection activeCell="G59" sqref="G59"/>
    </sheetView>
  </sheetViews>
  <sheetFormatPr defaultRowHeight="15" x14ac:dyDescent="0.25"/>
  <cols>
    <col min="1" max="1" width="7" bestFit="1" customWidth="1"/>
    <col min="2" max="2" width="32.85546875" customWidth="1"/>
    <col min="3" max="3" width="11.42578125" bestFit="1" customWidth="1"/>
    <col min="4" max="4" width="11.28515625" bestFit="1" customWidth="1"/>
    <col min="5" max="5" width="10.7109375" bestFit="1" customWidth="1"/>
    <col min="6" max="6" width="10.28515625" bestFit="1" customWidth="1"/>
    <col min="7" max="7" width="10.140625" bestFit="1" customWidth="1"/>
    <col min="8" max="8" width="27.5703125" bestFit="1" customWidth="1"/>
    <col min="9" max="9" width="27.28515625" bestFit="1" customWidth="1"/>
    <col min="10" max="10" width="9.140625" customWidth="1"/>
    <col min="11" max="11" width="16.5703125" style="7" bestFit="1" customWidth="1"/>
    <col min="12" max="12" width="27.28515625" style="7" customWidth="1"/>
    <col min="13" max="13" width="13" style="7" customWidth="1"/>
    <col min="14" max="14" width="10.28515625" style="7" bestFit="1" customWidth="1"/>
    <col min="15" max="15" width="10.140625" style="18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8"/>
      <c r="J1" s="8" t="s">
        <v>1</v>
      </c>
      <c r="K1" s="8" t="s">
        <v>69</v>
      </c>
      <c r="L1" s="8" t="s">
        <v>63</v>
      </c>
      <c r="M1" s="8" t="s">
        <v>75</v>
      </c>
      <c r="N1" s="8" t="s">
        <v>76</v>
      </c>
      <c r="O1" s="11" t="s">
        <v>77</v>
      </c>
    </row>
    <row r="2" spans="1:15" x14ac:dyDescent="0.25">
      <c r="A2">
        <v>504</v>
      </c>
      <c r="B2">
        <v>28843.645499999999</v>
      </c>
      <c r="C2">
        <v>97.65746</v>
      </c>
      <c r="D2">
        <v>97.901520000000005</v>
      </c>
      <c r="E2">
        <v>120</v>
      </c>
      <c r="F2">
        <v>0.1002</v>
      </c>
      <c r="G2">
        <v>5.552E-2</v>
      </c>
      <c r="H2" t="s">
        <v>12</v>
      </c>
      <c r="I2" s="3" t="s">
        <v>12</v>
      </c>
      <c r="J2" s="4">
        <f t="shared" ref="J2:J7" si="0">B2</f>
        <v>28843.645499999999</v>
      </c>
      <c r="K2" s="5">
        <f t="shared" ref="K2:K7" si="1">E2</f>
        <v>120</v>
      </c>
      <c r="L2" s="17">
        <f t="shared" ref="L2:L7" si="2">AVERAGE(F2:G2)</f>
        <v>7.7859999999999999E-2</v>
      </c>
      <c r="M2" s="5">
        <v>3</v>
      </c>
      <c r="N2" s="6">
        <f>AADT2AAWT(M2,J2)</f>
        <v>26883.239060849999</v>
      </c>
      <c r="O2" s="17">
        <f>HGVWeekday(L2)</f>
        <v>9.3432000000000001E-2</v>
      </c>
    </row>
    <row r="3" spans="1:15" x14ac:dyDescent="0.25">
      <c r="A3">
        <v>48032</v>
      </c>
      <c r="B3">
        <v>35016.71</v>
      </c>
      <c r="C3">
        <v>97.806160000000006</v>
      </c>
      <c r="D3">
        <v>100.37345999999999</v>
      </c>
      <c r="E3">
        <v>120</v>
      </c>
      <c r="F3">
        <v>7.2120000000000004E-2</v>
      </c>
      <c r="G3">
        <v>5.2540000000000003E-2</v>
      </c>
      <c r="H3" t="s">
        <v>11</v>
      </c>
      <c r="I3" s="3" t="s">
        <v>11</v>
      </c>
      <c r="J3" s="4">
        <f t="shared" si="0"/>
        <v>35016.71</v>
      </c>
      <c r="K3" s="5">
        <f t="shared" si="1"/>
        <v>120</v>
      </c>
      <c r="L3" s="17">
        <f t="shared" si="2"/>
        <v>6.2330000000000003E-2</v>
      </c>
      <c r="M3" s="5">
        <v>3</v>
      </c>
      <c r="N3" s="6">
        <f t="shared" ref="N3:N48" si="3">AADT2AAWT(M3,J3)</f>
        <v>32636.740943666664</v>
      </c>
      <c r="O3" s="17">
        <f t="shared" ref="O3:O48" si="4">HGVWeekday(L3)</f>
        <v>7.4796000000000001E-2</v>
      </c>
    </row>
    <row r="4" spans="1:15" x14ac:dyDescent="0.25">
      <c r="A4">
        <v>47938</v>
      </c>
      <c r="B4">
        <v>36125.19</v>
      </c>
      <c r="C4">
        <v>97.865600000000001</v>
      </c>
      <c r="D4">
        <v>100.59486</v>
      </c>
      <c r="E4">
        <v>120</v>
      </c>
      <c r="F4">
        <v>6.966E-2</v>
      </c>
      <c r="G4">
        <v>5.0810000000000001E-2</v>
      </c>
      <c r="H4" t="s">
        <v>7</v>
      </c>
      <c r="I4" s="3" t="s">
        <v>7</v>
      </c>
      <c r="J4" s="4">
        <f t="shared" si="0"/>
        <v>36125.19</v>
      </c>
      <c r="K4" s="5">
        <f t="shared" si="1"/>
        <v>120</v>
      </c>
      <c r="L4" s="17">
        <f t="shared" si="2"/>
        <v>6.0234999999999997E-2</v>
      </c>
      <c r="M4" s="5">
        <v>3</v>
      </c>
      <c r="N4" s="6">
        <f t="shared" si="3"/>
        <v>33669.881253</v>
      </c>
      <c r="O4" s="17">
        <f t="shared" si="4"/>
        <v>7.2281999999999999E-2</v>
      </c>
    </row>
    <row r="5" spans="1:15" x14ac:dyDescent="0.25">
      <c r="A5">
        <v>48042</v>
      </c>
      <c r="B5">
        <v>28844.0785</v>
      </c>
      <c r="C5">
        <v>97.988939999999999</v>
      </c>
      <c r="D5">
        <v>96.762349999999998</v>
      </c>
      <c r="E5">
        <v>120</v>
      </c>
      <c r="F5">
        <v>0.10051</v>
      </c>
      <c r="G5">
        <v>5.5739999999999998E-2</v>
      </c>
      <c r="H5" t="s">
        <v>8</v>
      </c>
      <c r="I5" s="3" t="s">
        <v>8</v>
      </c>
      <c r="J5" s="4">
        <f t="shared" si="0"/>
        <v>28844.0785</v>
      </c>
      <c r="K5" s="5">
        <f t="shared" si="1"/>
        <v>120</v>
      </c>
      <c r="L5" s="17">
        <f t="shared" si="2"/>
        <v>7.8125E-2</v>
      </c>
      <c r="M5" s="5">
        <v>3</v>
      </c>
      <c r="N5" s="6">
        <f t="shared" si="3"/>
        <v>26883.642631283328</v>
      </c>
      <c r="O5" s="17">
        <f t="shared" si="4"/>
        <v>9.375E-2</v>
      </c>
    </row>
    <row r="6" spans="1:15" x14ac:dyDescent="0.25">
      <c r="A6">
        <v>47939</v>
      </c>
      <c r="B6">
        <v>28977.659</v>
      </c>
      <c r="C6">
        <v>99.023929999999993</v>
      </c>
      <c r="D6">
        <v>98.762100000000004</v>
      </c>
      <c r="E6">
        <v>120</v>
      </c>
      <c r="F6">
        <v>0.10074</v>
      </c>
      <c r="G6">
        <v>5.5690000000000003E-2</v>
      </c>
      <c r="H6" t="s">
        <v>10</v>
      </c>
      <c r="I6" s="3" t="s">
        <v>10</v>
      </c>
      <c r="J6" s="4">
        <f t="shared" si="0"/>
        <v>28977.659</v>
      </c>
      <c r="K6" s="5">
        <f t="shared" si="1"/>
        <v>120</v>
      </c>
      <c r="L6" s="17">
        <f t="shared" si="2"/>
        <v>7.8215000000000007E-2</v>
      </c>
      <c r="M6" s="5">
        <v>3</v>
      </c>
      <c r="N6" s="6">
        <f t="shared" si="3"/>
        <v>27008.144109966663</v>
      </c>
      <c r="O6" s="17">
        <f t="shared" si="4"/>
        <v>9.3858000000000011E-2</v>
      </c>
    </row>
    <row r="7" spans="1:15" x14ac:dyDescent="0.25">
      <c r="A7">
        <v>48061</v>
      </c>
      <c r="B7">
        <v>35997.238499999999</v>
      </c>
      <c r="C7">
        <v>97.60472</v>
      </c>
      <c r="D7">
        <v>100.48730999999999</v>
      </c>
      <c r="E7">
        <v>120</v>
      </c>
      <c r="F7">
        <v>6.9540000000000005E-2</v>
      </c>
      <c r="G7">
        <v>5.0770000000000003E-2</v>
      </c>
      <c r="H7" t="s">
        <v>9</v>
      </c>
      <c r="I7" s="3" t="s">
        <v>9</v>
      </c>
      <c r="J7" s="4">
        <f t="shared" si="0"/>
        <v>35997.238499999999</v>
      </c>
      <c r="K7" s="5">
        <f t="shared" si="1"/>
        <v>120</v>
      </c>
      <c r="L7" s="17">
        <f t="shared" si="2"/>
        <v>6.0155E-2</v>
      </c>
      <c r="M7" s="5">
        <v>3</v>
      </c>
      <c r="N7" s="6">
        <f t="shared" si="3"/>
        <v>33550.626189949995</v>
      </c>
      <c r="O7" s="17">
        <f t="shared" si="4"/>
        <v>7.2186E-2</v>
      </c>
    </row>
    <row r="8" spans="1:15" x14ac:dyDescent="0.25">
      <c r="A8">
        <v>49272</v>
      </c>
      <c r="B8">
        <v>456.16550000000001</v>
      </c>
      <c r="C8">
        <v>42.235390000000002</v>
      </c>
      <c r="D8">
        <v>42.391289999999998</v>
      </c>
      <c r="E8">
        <v>50</v>
      </c>
      <c r="F8">
        <v>8.0420000000000005E-2</v>
      </c>
      <c r="G8">
        <v>5.7140000000000003E-2</v>
      </c>
      <c r="H8" t="s">
        <v>14</v>
      </c>
      <c r="I8" s="3" t="s">
        <v>64</v>
      </c>
      <c r="J8" s="4">
        <f>B8+B9</f>
        <v>1063.4480000000001</v>
      </c>
      <c r="K8" s="5">
        <f>MAX(E8:E9)</f>
        <v>50</v>
      </c>
      <c r="L8" s="17">
        <f>AVERAGE(F8:G9)</f>
        <v>6.5805000000000002E-2</v>
      </c>
      <c r="M8" s="5">
        <v>1</v>
      </c>
      <c r="N8" s="6">
        <f t="shared" si="3"/>
        <v>986.96836466666673</v>
      </c>
      <c r="O8" s="17">
        <f t="shared" si="4"/>
        <v>7.8965999999999995E-2</v>
      </c>
    </row>
    <row r="9" spans="1:15" x14ac:dyDescent="0.25">
      <c r="A9">
        <v>300906</v>
      </c>
      <c r="B9">
        <v>607.28250000000003</v>
      </c>
      <c r="C9">
        <v>37.93412</v>
      </c>
      <c r="D9">
        <v>36.858580000000003</v>
      </c>
      <c r="E9">
        <v>50</v>
      </c>
      <c r="F9">
        <v>7.9729999999999995E-2</v>
      </c>
      <c r="G9">
        <v>4.5929999999999999E-2</v>
      </c>
      <c r="H9" t="s">
        <v>13</v>
      </c>
      <c r="I9" s="3"/>
      <c r="J9" s="4"/>
      <c r="K9" s="5"/>
      <c r="L9" s="17"/>
      <c r="M9" s="5"/>
      <c r="N9" s="5"/>
      <c r="O9" s="17"/>
    </row>
    <row r="10" spans="1:15" x14ac:dyDescent="0.25">
      <c r="A10">
        <v>49278</v>
      </c>
      <c r="B10">
        <v>337.52350000000001</v>
      </c>
      <c r="C10">
        <v>29.186109999999999</v>
      </c>
      <c r="D10">
        <v>28.954360000000001</v>
      </c>
      <c r="E10">
        <v>32</v>
      </c>
      <c r="F10">
        <v>9.7710000000000005E-2</v>
      </c>
      <c r="G10">
        <v>3.8359999999999998E-2</v>
      </c>
      <c r="H10" t="s">
        <v>16</v>
      </c>
      <c r="I10" s="3" t="s">
        <v>66</v>
      </c>
      <c r="J10" s="4">
        <f>B10+B11</f>
        <v>615.726</v>
      </c>
      <c r="K10" s="5">
        <f>MAX(E10:E11)</f>
        <v>32</v>
      </c>
      <c r="L10" s="17">
        <f>AVERAGE(F10:G11)</f>
        <v>6.5617499999999995E-2</v>
      </c>
      <c r="M10" s="5">
        <v>1</v>
      </c>
      <c r="N10" s="6">
        <f t="shared" si="3"/>
        <v>571.4450384999999</v>
      </c>
      <c r="O10" s="17">
        <f t="shared" si="4"/>
        <v>7.8740999999999992E-2</v>
      </c>
    </row>
    <row r="11" spans="1:15" x14ac:dyDescent="0.25">
      <c r="A11">
        <v>49294</v>
      </c>
      <c r="B11">
        <v>278.20249999999999</v>
      </c>
      <c r="C11">
        <v>31.034020000000002</v>
      </c>
      <c r="D11">
        <v>31.336760000000002</v>
      </c>
      <c r="E11">
        <v>32</v>
      </c>
      <c r="F11">
        <v>7.7170000000000002E-2</v>
      </c>
      <c r="G11">
        <v>4.9230000000000003E-2</v>
      </c>
      <c r="H11" t="s">
        <v>15</v>
      </c>
      <c r="I11" s="3"/>
      <c r="J11" s="4"/>
      <c r="K11" s="5"/>
      <c r="L11" s="17"/>
      <c r="M11" s="5"/>
      <c r="N11" s="5"/>
      <c r="O11" s="17"/>
    </row>
    <row r="12" spans="1:15" x14ac:dyDescent="0.25">
      <c r="A12">
        <v>49291</v>
      </c>
      <c r="B12">
        <v>79.455500000000001</v>
      </c>
      <c r="C12">
        <v>32.861139999999999</v>
      </c>
      <c r="D12">
        <v>33.320970000000003</v>
      </c>
      <c r="E12">
        <v>32</v>
      </c>
      <c r="F12">
        <v>0.21739</v>
      </c>
      <c r="G12">
        <v>8.1250000000000003E-2</v>
      </c>
      <c r="H12" t="s">
        <v>18</v>
      </c>
      <c r="I12" s="3" t="s">
        <v>67</v>
      </c>
      <c r="J12" s="4">
        <f>B12+B13</f>
        <v>116.91</v>
      </c>
      <c r="K12" s="5">
        <f>MAX(E12:E13)</f>
        <v>32</v>
      </c>
      <c r="L12" s="17">
        <f>AVERAGE(F12:G13)</f>
        <v>0.1923425</v>
      </c>
      <c r="M12" s="5">
        <v>1</v>
      </c>
      <c r="N12" s="6">
        <f t="shared" si="3"/>
        <v>108.5022225</v>
      </c>
      <c r="O12" s="17">
        <f t="shared" si="4"/>
        <v>0.23081099999999999</v>
      </c>
    </row>
    <row r="13" spans="1:15" x14ac:dyDescent="0.25">
      <c r="A13">
        <v>49304</v>
      </c>
      <c r="B13">
        <v>37.454500000000003</v>
      </c>
      <c r="C13">
        <v>33.421460000000003</v>
      </c>
      <c r="D13">
        <v>32.979939999999999</v>
      </c>
      <c r="E13">
        <v>32</v>
      </c>
      <c r="F13">
        <v>0.17072999999999999</v>
      </c>
      <c r="G13">
        <v>0.3</v>
      </c>
      <c r="H13" t="s">
        <v>17</v>
      </c>
      <c r="I13" s="3"/>
      <c r="J13" s="4"/>
      <c r="K13" s="5"/>
      <c r="L13" s="17"/>
      <c r="M13" s="5"/>
      <c r="N13" s="5"/>
      <c r="O13" s="17"/>
    </row>
    <row r="14" spans="1:15" x14ac:dyDescent="0.25">
      <c r="A14">
        <v>5658</v>
      </c>
      <c r="B14">
        <v>262.18150000000003</v>
      </c>
      <c r="C14">
        <v>26.59789</v>
      </c>
      <c r="D14">
        <v>26.605049999999999</v>
      </c>
      <c r="E14">
        <v>32</v>
      </c>
      <c r="F14">
        <v>5.5840000000000001E-2</v>
      </c>
      <c r="G14">
        <v>2.581E-2</v>
      </c>
      <c r="H14" t="s">
        <v>19</v>
      </c>
      <c r="I14" s="3" t="s">
        <v>65</v>
      </c>
      <c r="J14" s="4">
        <f>B14+B15</f>
        <v>478.46500000000003</v>
      </c>
      <c r="K14" s="5">
        <f>MAX(E14:E15)</f>
        <v>32</v>
      </c>
      <c r="L14" s="17">
        <f>AVERAGE(F14:G15)</f>
        <v>5.67275E-2</v>
      </c>
      <c r="M14" s="5">
        <v>1</v>
      </c>
      <c r="N14" s="6">
        <f t="shared" si="3"/>
        <v>444.05539208333334</v>
      </c>
      <c r="O14" s="17">
        <f t="shared" si="4"/>
        <v>6.8072999999999995E-2</v>
      </c>
    </row>
    <row r="15" spans="1:15" x14ac:dyDescent="0.25">
      <c r="A15">
        <v>49307</v>
      </c>
      <c r="B15">
        <v>216.2835</v>
      </c>
      <c r="C15">
        <v>32.953780000000002</v>
      </c>
      <c r="D15">
        <v>33.122590000000002</v>
      </c>
      <c r="E15">
        <v>32</v>
      </c>
      <c r="F15">
        <v>9.0910000000000005E-2</v>
      </c>
      <c r="G15">
        <v>5.4350000000000002E-2</v>
      </c>
      <c r="H15" t="s">
        <v>20</v>
      </c>
      <c r="I15" s="3"/>
      <c r="J15" s="4"/>
      <c r="K15" s="5"/>
      <c r="L15" s="17"/>
      <c r="M15" s="5"/>
      <c r="N15" s="5"/>
      <c r="O15" s="17"/>
    </row>
    <row r="16" spans="1:15" x14ac:dyDescent="0.25">
      <c r="A16">
        <v>4843</v>
      </c>
      <c r="B16">
        <v>88.981499999999997</v>
      </c>
      <c r="C16">
        <v>52.511650000000003</v>
      </c>
      <c r="D16">
        <v>52.436329999999998</v>
      </c>
      <c r="E16">
        <v>50</v>
      </c>
      <c r="F16">
        <v>8.6580000000000004E-2</v>
      </c>
      <c r="G16">
        <v>8.3330000000000001E-2</v>
      </c>
      <c r="H16" t="s">
        <v>22</v>
      </c>
      <c r="I16" s="3" t="s">
        <v>22</v>
      </c>
      <c r="J16" s="4">
        <f>B16+B17</f>
        <v>88.981499999999997</v>
      </c>
      <c r="K16" s="5">
        <f>MAX(E16:E17)</f>
        <v>50</v>
      </c>
      <c r="L16" s="17">
        <f>AVERAGE(F16:G17)</f>
        <v>4.2477500000000001E-2</v>
      </c>
      <c r="M16" s="5">
        <v>1</v>
      </c>
      <c r="N16" s="6">
        <f t="shared" si="3"/>
        <v>82.582247124999981</v>
      </c>
      <c r="O16" s="17">
        <f t="shared" si="4"/>
        <v>5.0972999999999997E-2</v>
      </c>
    </row>
    <row r="17" spans="1:15" x14ac:dyDescent="0.25">
      <c r="A17">
        <v>47962</v>
      </c>
      <c r="B17">
        <v>0</v>
      </c>
      <c r="C17">
        <v>-1</v>
      </c>
      <c r="D17">
        <v>-1</v>
      </c>
      <c r="E17">
        <v>50</v>
      </c>
      <c r="F17">
        <v>0</v>
      </c>
      <c r="G17">
        <v>0</v>
      </c>
      <c r="H17" t="s">
        <v>21</v>
      </c>
      <c r="I17" s="3"/>
      <c r="J17" s="4"/>
      <c r="K17" s="5"/>
      <c r="L17" s="17"/>
      <c r="M17" s="5"/>
      <c r="N17" s="5"/>
      <c r="O17" s="17"/>
    </row>
    <row r="18" spans="1:15" x14ac:dyDescent="0.25">
      <c r="A18">
        <v>3097</v>
      </c>
      <c r="B18">
        <v>215.20099999999999</v>
      </c>
      <c r="C18">
        <v>44.627740000000003</v>
      </c>
      <c r="D18">
        <v>45.974040000000002</v>
      </c>
      <c r="E18">
        <v>50</v>
      </c>
      <c r="F18">
        <v>9.5509999999999998E-2</v>
      </c>
      <c r="G18">
        <v>5.8700000000000002E-2</v>
      </c>
      <c r="H18" t="s">
        <v>23</v>
      </c>
      <c r="I18" s="3" t="s">
        <v>24</v>
      </c>
      <c r="J18" s="4">
        <f>B18+B19</f>
        <v>585.63250000000005</v>
      </c>
      <c r="K18" s="5">
        <f>MAX(E18:E19)</f>
        <v>50</v>
      </c>
      <c r="L18" s="17">
        <f>AVERAGE(F18:G19)</f>
        <v>6.7615000000000008E-2</v>
      </c>
      <c r="M18" s="5">
        <v>1</v>
      </c>
      <c r="N18" s="6">
        <f t="shared" si="3"/>
        <v>543.51576270833334</v>
      </c>
      <c r="O18" s="17">
        <f t="shared" si="4"/>
        <v>8.1138000000000002E-2</v>
      </c>
    </row>
    <row r="19" spans="1:15" x14ac:dyDescent="0.25">
      <c r="A19">
        <v>48211</v>
      </c>
      <c r="B19">
        <v>370.43150000000003</v>
      </c>
      <c r="C19">
        <v>38.626649999999998</v>
      </c>
      <c r="D19">
        <v>38.821680000000001</v>
      </c>
      <c r="E19">
        <v>50</v>
      </c>
      <c r="F19">
        <v>7.3719999999999994E-2</v>
      </c>
      <c r="G19">
        <v>4.2529999999999998E-2</v>
      </c>
      <c r="H19" t="s">
        <v>24</v>
      </c>
      <c r="I19" s="3"/>
      <c r="J19" s="4"/>
      <c r="K19" s="5"/>
      <c r="L19" s="17"/>
      <c r="M19" s="5"/>
      <c r="N19" s="5"/>
      <c r="O19" s="17"/>
    </row>
    <row r="20" spans="1:15" x14ac:dyDescent="0.25">
      <c r="A20">
        <v>43145</v>
      </c>
      <c r="B20">
        <v>586.49850000000004</v>
      </c>
      <c r="C20">
        <v>48.840490000000003</v>
      </c>
      <c r="D20">
        <v>49.057490000000001</v>
      </c>
      <c r="E20">
        <v>50</v>
      </c>
      <c r="F20">
        <v>5.7290000000000001E-2</v>
      </c>
      <c r="G20">
        <v>3.3079999999999998E-2</v>
      </c>
      <c r="H20" t="s">
        <v>26</v>
      </c>
      <c r="I20" s="3" t="s">
        <v>25</v>
      </c>
      <c r="J20" s="4">
        <f>B20+B21</f>
        <v>1620.2860000000001</v>
      </c>
      <c r="K20" s="5">
        <f>MAX(E20:E21)</f>
        <v>50</v>
      </c>
      <c r="L20" s="17">
        <f>AVERAGE(F20:G21)</f>
        <v>4.5647500000000001E-2</v>
      </c>
      <c r="M20" s="5">
        <v>1</v>
      </c>
      <c r="N20" s="6">
        <f t="shared" si="3"/>
        <v>1503.7604318333333</v>
      </c>
      <c r="O20" s="17">
        <f t="shared" si="4"/>
        <v>5.4776999999999999E-2</v>
      </c>
    </row>
    <row r="21" spans="1:15" x14ac:dyDescent="0.25">
      <c r="A21">
        <v>49907</v>
      </c>
      <c r="B21">
        <v>1033.7874999999999</v>
      </c>
      <c r="C21">
        <v>44.172539999999998</v>
      </c>
      <c r="D21">
        <v>45.05283</v>
      </c>
      <c r="E21">
        <v>50</v>
      </c>
      <c r="F21">
        <v>5.3469999999999997E-2</v>
      </c>
      <c r="G21">
        <v>3.875E-2</v>
      </c>
      <c r="H21" t="s">
        <v>25</v>
      </c>
      <c r="I21" s="3"/>
      <c r="J21" s="4"/>
      <c r="K21" s="5"/>
      <c r="L21" s="17"/>
      <c r="M21" s="5"/>
      <c r="N21" s="5"/>
      <c r="O21" s="17"/>
    </row>
    <row r="22" spans="1:15" x14ac:dyDescent="0.25">
      <c r="A22">
        <v>5661</v>
      </c>
      <c r="B22">
        <v>1037.9010000000001</v>
      </c>
      <c r="C22">
        <v>51.087820000000001</v>
      </c>
      <c r="D22">
        <v>50.656300000000002</v>
      </c>
      <c r="E22">
        <v>50</v>
      </c>
      <c r="F22">
        <v>5.3080000000000002E-2</v>
      </c>
      <c r="G22">
        <v>3.8429999999999999E-2</v>
      </c>
      <c r="H22" t="s">
        <v>28</v>
      </c>
      <c r="I22" s="3" t="s">
        <v>28</v>
      </c>
      <c r="J22" s="4">
        <f>B22+B23</f>
        <v>1627.4304999999999</v>
      </c>
      <c r="K22" s="5">
        <f>MAX(E22:E23)</f>
        <v>50</v>
      </c>
      <c r="L22" s="17">
        <f>AVERAGE(F22:G23)</f>
        <v>4.5325000000000004E-2</v>
      </c>
      <c r="M22" s="5">
        <v>1</v>
      </c>
      <c r="N22" s="6">
        <f t="shared" si="3"/>
        <v>1510.3911232083333</v>
      </c>
      <c r="O22" s="17">
        <f t="shared" si="4"/>
        <v>5.4390000000000001E-2</v>
      </c>
    </row>
    <row r="23" spans="1:15" x14ac:dyDescent="0.25">
      <c r="A23">
        <v>49904</v>
      </c>
      <c r="B23">
        <v>589.52949999999998</v>
      </c>
      <c r="C23">
        <v>51.774560000000001</v>
      </c>
      <c r="D23">
        <v>52.065710000000003</v>
      </c>
      <c r="E23">
        <v>50</v>
      </c>
      <c r="F23">
        <v>5.6710000000000003E-2</v>
      </c>
      <c r="G23">
        <v>3.3079999999999998E-2</v>
      </c>
      <c r="H23" t="s">
        <v>27</v>
      </c>
      <c r="I23" s="3"/>
      <c r="J23" s="4"/>
      <c r="K23" s="5"/>
      <c r="L23" s="17"/>
      <c r="M23" s="5"/>
      <c r="N23" s="5"/>
      <c r="O23" s="17"/>
    </row>
    <row r="24" spans="1:15" x14ac:dyDescent="0.25">
      <c r="A24">
        <v>5660</v>
      </c>
      <c r="B24">
        <v>4198.5844999999999</v>
      </c>
      <c r="C24">
        <v>66.054950000000005</v>
      </c>
      <c r="D24">
        <v>66.587010000000006</v>
      </c>
      <c r="E24">
        <v>64</v>
      </c>
      <c r="F24">
        <v>1.2710000000000001E-2</v>
      </c>
      <c r="G24">
        <v>7.4700000000000001E-3</v>
      </c>
      <c r="H24" t="s">
        <v>29</v>
      </c>
      <c r="I24" s="3" t="s">
        <v>30</v>
      </c>
      <c r="J24" s="4">
        <f>B24+B25</f>
        <v>7972.3959999999997</v>
      </c>
      <c r="K24" s="5">
        <f>MAX(E24:E25)</f>
        <v>64</v>
      </c>
      <c r="L24" s="17">
        <f>AVERAGE(F24:G25)</f>
        <v>1.7155E-2</v>
      </c>
      <c r="M24" s="5">
        <v>1</v>
      </c>
      <c r="N24" s="6">
        <f t="shared" si="3"/>
        <v>7399.047854333332</v>
      </c>
      <c r="O24" s="17">
        <f t="shared" si="4"/>
        <v>2.0586E-2</v>
      </c>
    </row>
    <row r="25" spans="1:15" x14ac:dyDescent="0.25">
      <c r="A25">
        <v>43142</v>
      </c>
      <c r="B25">
        <v>3773.8114999999998</v>
      </c>
      <c r="C25">
        <v>64.760819999999995</v>
      </c>
      <c r="D25">
        <v>63.354799999999997</v>
      </c>
      <c r="E25">
        <v>64</v>
      </c>
      <c r="F25">
        <v>2.8230000000000002E-2</v>
      </c>
      <c r="G25">
        <v>2.0209999999999999E-2</v>
      </c>
      <c r="H25" t="s">
        <v>30</v>
      </c>
      <c r="I25" s="3"/>
      <c r="J25" s="4"/>
      <c r="K25" s="5"/>
      <c r="L25" s="17"/>
      <c r="M25" s="5"/>
      <c r="N25" s="5"/>
      <c r="O25" s="17"/>
    </row>
    <row r="26" spans="1:15" x14ac:dyDescent="0.25">
      <c r="A26">
        <v>3374</v>
      </c>
      <c r="B26">
        <v>380.60700000000003</v>
      </c>
      <c r="C26">
        <v>36.07152</v>
      </c>
      <c r="D26">
        <v>37.251300000000001</v>
      </c>
      <c r="E26">
        <v>48</v>
      </c>
      <c r="F26">
        <v>0.12687000000000001</v>
      </c>
      <c r="G26">
        <v>8.2930000000000004E-2</v>
      </c>
      <c r="H26" t="s">
        <v>53</v>
      </c>
      <c r="I26" s="3" t="s">
        <v>53</v>
      </c>
      <c r="J26" s="4">
        <f>B26+B27</f>
        <v>1168.0174999999999</v>
      </c>
      <c r="K26" s="5">
        <f>MAX(E26:E27)</f>
        <v>48</v>
      </c>
      <c r="L26" s="17">
        <f>AVERAGE(F26:G27)</f>
        <v>8.2265000000000005E-2</v>
      </c>
      <c r="M26" s="5">
        <v>1</v>
      </c>
      <c r="N26" s="6">
        <f t="shared" si="3"/>
        <v>1084.0175747916664</v>
      </c>
      <c r="O26" s="17">
        <f t="shared" si="4"/>
        <v>9.8718E-2</v>
      </c>
    </row>
    <row r="27" spans="1:15" x14ac:dyDescent="0.25">
      <c r="A27">
        <v>3375</v>
      </c>
      <c r="B27">
        <v>787.41049999999996</v>
      </c>
      <c r="C27">
        <v>47.690579999999997</v>
      </c>
      <c r="D27">
        <v>47.680300000000003</v>
      </c>
      <c r="E27">
        <v>48</v>
      </c>
      <c r="F27">
        <v>7.2700000000000001E-2</v>
      </c>
      <c r="G27">
        <v>4.6559999999999997E-2</v>
      </c>
      <c r="H27" t="s">
        <v>54</v>
      </c>
      <c r="I27" s="3"/>
      <c r="J27" s="4"/>
      <c r="K27" s="5"/>
      <c r="L27" s="17"/>
      <c r="M27" s="5"/>
      <c r="N27" s="5"/>
      <c r="O27" s="17"/>
    </row>
    <row r="28" spans="1:15" x14ac:dyDescent="0.25">
      <c r="A28">
        <v>4844</v>
      </c>
      <c r="B28">
        <v>11067.047</v>
      </c>
      <c r="C28">
        <v>79.466030000000003</v>
      </c>
      <c r="D28">
        <v>79.109430000000003</v>
      </c>
      <c r="E28">
        <v>80</v>
      </c>
      <c r="F28">
        <v>5.0560000000000001E-2</v>
      </c>
      <c r="G28">
        <v>1.9140000000000001E-2</v>
      </c>
      <c r="H28" t="s">
        <v>52</v>
      </c>
      <c r="I28" s="3" t="s">
        <v>70</v>
      </c>
      <c r="J28" s="4">
        <f>B28+B29</f>
        <v>26912.898500000003</v>
      </c>
      <c r="K28" s="5">
        <f>MAX(E28:E29)</f>
        <v>80</v>
      </c>
      <c r="L28" s="17">
        <f>AVERAGE(F28:G29)</f>
        <v>3.0404999999999998E-2</v>
      </c>
      <c r="M28" s="5">
        <v>3</v>
      </c>
      <c r="N28" s="6">
        <f t="shared" si="3"/>
        <v>25083.718498616665</v>
      </c>
      <c r="O28" s="17">
        <f t="shared" si="4"/>
        <v>3.6485999999999998E-2</v>
      </c>
    </row>
    <row r="29" spans="1:15" x14ac:dyDescent="0.25">
      <c r="A29">
        <v>300962</v>
      </c>
      <c r="B29">
        <v>15845.851500000001</v>
      </c>
      <c r="C29">
        <v>79.308549999999997</v>
      </c>
      <c r="D29">
        <v>80.744420000000005</v>
      </c>
      <c r="E29">
        <v>80</v>
      </c>
      <c r="F29">
        <v>3.159E-2</v>
      </c>
      <c r="G29">
        <v>2.0330000000000001E-2</v>
      </c>
      <c r="H29" t="s">
        <v>51</v>
      </c>
      <c r="I29" s="3"/>
      <c r="J29" s="4"/>
      <c r="K29" s="5"/>
      <c r="L29" s="17"/>
      <c r="M29" s="5"/>
      <c r="N29" s="5"/>
      <c r="O29" s="17"/>
    </row>
    <row r="30" spans="1:15" x14ac:dyDescent="0.25">
      <c r="A30">
        <v>5657</v>
      </c>
      <c r="B30">
        <v>340.33800000000002</v>
      </c>
      <c r="C30">
        <v>81.395489999999995</v>
      </c>
      <c r="D30">
        <v>82.828419999999994</v>
      </c>
      <c r="E30">
        <v>80</v>
      </c>
      <c r="F30">
        <v>0.10771</v>
      </c>
      <c r="G30">
        <v>7.3169999999999999E-2</v>
      </c>
      <c r="H30" t="s">
        <v>36</v>
      </c>
      <c r="I30" s="3" t="s">
        <v>36</v>
      </c>
      <c r="J30" s="4">
        <f>B30+B31</f>
        <v>489.93950000000001</v>
      </c>
      <c r="K30" s="5">
        <f>MAX(E30:E31)</f>
        <v>80</v>
      </c>
      <c r="L30" s="17">
        <f>AVERAGE(F30:G31)</f>
        <v>9.2072500000000002E-2</v>
      </c>
      <c r="M30" s="5">
        <v>1</v>
      </c>
      <c r="N30" s="6">
        <f t="shared" si="3"/>
        <v>454.70468429166664</v>
      </c>
      <c r="O30" s="17">
        <f t="shared" si="4"/>
        <v>0.110487</v>
      </c>
    </row>
    <row r="31" spans="1:15" x14ac:dyDescent="0.25">
      <c r="A31">
        <v>47986</v>
      </c>
      <c r="B31">
        <v>149.60149999999999</v>
      </c>
      <c r="C31">
        <v>84.741389999999996</v>
      </c>
      <c r="D31">
        <v>84.786760000000001</v>
      </c>
      <c r="E31">
        <v>80</v>
      </c>
      <c r="F31">
        <v>0.10903</v>
      </c>
      <c r="G31">
        <v>7.8380000000000005E-2</v>
      </c>
      <c r="H31" t="s">
        <v>35</v>
      </c>
      <c r="I31" s="3"/>
      <c r="J31" s="4"/>
      <c r="K31" s="5"/>
      <c r="L31" s="17"/>
      <c r="M31" s="5"/>
      <c r="N31" s="5"/>
      <c r="O31" s="17"/>
    </row>
    <row r="32" spans="1:15" x14ac:dyDescent="0.25">
      <c r="A32">
        <v>455</v>
      </c>
      <c r="B32">
        <v>461.14499999999998</v>
      </c>
      <c r="C32">
        <v>30.850149999999999</v>
      </c>
      <c r="D32">
        <v>30.937650000000001</v>
      </c>
      <c r="E32">
        <v>32</v>
      </c>
      <c r="F32">
        <v>6.6970000000000002E-2</v>
      </c>
      <c r="G32">
        <v>4.7120000000000002E-2</v>
      </c>
      <c r="H32" t="s">
        <v>44</v>
      </c>
      <c r="I32" s="3" t="s">
        <v>59</v>
      </c>
      <c r="J32" s="4">
        <f>B32+B33</f>
        <v>715.09950000000003</v>
      </c>
      <c r="K32" s="5">
        <f>MAX(E32:E33)</f>
        <v>32</v>
      </c>
      <c r="L32" s="17">
        <f>AVERAGE(F32:G33)</f>
        <v>6.4247499999999999E-2</v>
      </c>
      <c r="M32" s="5">
        <v>1</v>
      </c>
      <c r="N32" s="6">
        <f t="shared" si="3"/>
        <v>663.67192762499997</v>
      </c>
      <c r="O32" s="17">
        <f t="shared" si="4"/>
        <v>7.7096999999999999E-2</v>
      </c>
    </row>
    <row r="33" spans="1:15" x14ac:dyDescent="0.25">
      <c r="A33">
        <v>478</v>
      </c>
      <c r="B33">
        <v>253.9545</v>
      </c>
      <c r="C33">
        <v>33.949959999999997</v>
      </c>
      <c r="D33">
        <v>34.453209999999999</v>
      </c>
      <c r="E33">
        <v>32</v>
      </c>
      <c r="F33">
        <v>8.5999999999999993E-2</v>
      </c>
      <c r="G33">
        <v>5.6899999999999999E-2</v>
      </c>
      <c r="H33" t="s">
        <v>43</v>
      </c>
      <c r="I33" s="3"/>
      <c r="J33" s="4"/>
      <c r="K33" s="5"/>
      <c r="L33" s="17"/>
      <c r="M33" s="5"/>
      <c r="N33" s="5"/>
      <c r="O33" s="17"/>
    </row>
    <row r="34" spans="1:15" x14ac:dyDescent="0.25">
      <c r="A34">
        <v>49317</v>
      </c>
      <c r="B34">
        <v>314.791</v>
      </c>
      <c r="C34">
        <v>20.50638</v>
      </c>
      <c r="D34">
        <v>20.92539</v>
      </c>
      <c r="E34">
        <v>32</v>
      </c>
      <c r="F34">
        <v>7.9839999999999994E-2</v>
      </c>
      <c r="G34">
        <v>6.6669999999999993E-2</v>
      </c>
      <c r="H34" t="s">
        <v>45</v>
      </c>
      <c r="I34" s="3" t="s">
        <v>71</v>
      </c>
      <c r="J34" s="4">
        <f>B34+B35</f>
        <v>544.49749999999995</v>
      </c>
      <c r="K34" s="5">
        <f>MAX(E34:E35)</f>
        <v>32</v>
      </c>
      <c r="L34" s="17">
        <f>AVERAGE(F34:G35)</f>
        <v>6.8064999999999987E-2</v>
      </c>
      <c r="M34" s="5">
        <v>1</v>
      </c>
      <c r="N34" s="6">
        <f t="shared" si="3"/>
        <v>505.33905479166657</v>
      </c>
      <c r="O34" s="17">
        <f t="shared" si="4"/>
        <v>8.1677999999999987E-2</v>
      </c>
    </row>
    <row r="35" spans="1:15" x14ac:dyDescent="0.25">
      <c r="A35">
        <v>49896</v>
      </c>
      <c r="B35">
        <v>229.70650000000001</v>
      </c>
      <c r="C35">
        <v>16.740390000000001</v>
      </c>
      <c r="D35">
        <v>16.815460000000002</v>
      </c>
      <c r="E35">
        <v>32</v>
      </c>
      <c r="F35">
        <v>7.8810000000000005E-2</v>
      </c>
      <c r="G35">
        <v>4.6940000000000003E-2</v>
      </c>
      <c r="H35" t="s">
        <v>46</v>
      </c>
      <c r="I35" s="3"/>
      <c r="J35" s="4"/>
      <c r="K35" s="5"/>
      <c r="L35" s="17"/>
      <c r="M35" s="5"/>
      <c r="N35" s="5"/>
      <c r="O35" s="17"/>
    </row>
    <row r="36" spans="1:15" x14ac:dyDescent="0.25">
      <c r="A36">
        <v>49318</v>
      </c>
      <c r="B36">
        <v>233.82</v>
      </c>
      <c r="C36">
        <v>26.369140000000002</v>
      </c>
      <c r="D36">
        <v>26.492570000000001</v>
      </c>
      <c r="E36">
        <v>32</v>
      </c>
      <c r="F36">
        <v>7.9659999999999995E-2</v>
      </c>
      <c r="G36">
        <v>4.8980000000000003E-2</v>
      </c>
      <c r="H36" t="s">
        <v>47</v>
      </c>
      <c r="I36" s="3" t="s">
        <v>68</v>
      </c>
      <c r="J36" s="4">
        <f>B36+B37</f>
        <v>571.77649999999994</v>
      </c>
      <c r="K36" s="5">
        <f>MAX(E36:E37)</f>
        <v>32</v>
      </c>
      <c r="L36" s="17">
        <f>AVERAGE(F36:G37)</f>
        <v>7.1167499999999995E-2</v>
      </c>
      <c r="M36" s="5">
        <v>1</v>
      </c>
      <c r="N36" s="6">
        <f t="shared" si="3"/>
        <v>530.65624004166659</v>
      </c>
      <c r="O36" s="17">
        <f t="shared" si="4"/>
        <v>8.5400999999999991E-2</v>
      </c>
    </row>
    <row r="37" spans="1:15" x14ac:dyDescent="0.25">
      <c r="A37">
        <v>49893</v>
      </c>
      <c r="B37">
        <v>337.95650000000001</v>
      </c>
      <c r="C37">
        <v>13.38349</v>
      </c>
      <c r="D37">
        <v>13.876810000000001</v>
      </c>
      <c r="E37">
        <v>32</v>
      </c>
      <c r="F37">
        <v>8.8499999999999995E-2</v>
      </c>
      <c r="G37">
        <v>6.7530000000000007E-2</v>
      </c>
      <c r="H37" t="s">
        <v>48</v>
      </c>
      <c r="I37" s="3"/>
      <c r="J37" s="4"/>
      <c r="K37" s="5"/>
      <c r="L37" s="17"/>
      <c r="M37" s="5"/>
      <c r="N37" s="5"/>
      <c r="O37" s="17"/>
    </row>
    <row r="38" spans="1:15" x14ac:dyDescent="0.25">
      <c r="A38">
        <v>48177</v>
      </c>
      <c r="B38">
        <v>71.228499999999997</v>
      </c>
      <c r="C38">
        <v>53.461539999999999</v>
      </c>
      <c r="D38">
        <v>51.896540000000002</v>
      </c>
      <c r="E38">
        <v>50</v>
      </c>
      <c r="F38">
        <v>0</v>
      </c>
      <c r="G38">
        <v>0</v>
      </c>
      <c r="H38" t="s">
        <v>50</v>
      </c>
      <c r="I38" s="3" t="s">
        <v>72</v>
      </c>
      <c r="J38" s="4">
        <f>B38+B39</f>
        <v>71.878</v>
      </c>
      <c r="K38" s="5">
        <f>MAX(E38:E39)</f>
        <v>50</v>
      </c>
      <c r="L38" s="17">
        <f>AVERAGE(F38:G39)</f>
        <v>0</v>
      </c>
      <c r="M38" s="5">
        <v>1</v>
      </c>
      <c r="N38" s="6">
        <f t="shared" si="3"/>
        <v>66.708773833333339</v>
      </c>
      <c r="O38" s="17">
        <f t="shared" si="4"/>
        <v>0</v>
      </c>
    </row>
    <row r="39" spans="1:15" x14ac:dyDescent="0.25">
      <c r="A39">
        <v>48178</v>
      </c>
      <c r="B39">
        <v>0.64949999999999997</v>
      </c>
      <c r="C39">
        <v>56.579219999999999</v>
      </c>
      <c r="D39">
        <v>54.712800000000001</v>
      </c>
      <c r="E39">
        <v>50</v>
      </c>
      <c r="F39">
        <v>0</v>
      </c>
      <c r="G39">
        <v>0</v>
      </c>
      <c r="H39" t="s">
        <v>49</v>
      </c>
      <c r="I39" s="3"/>
      <c r="J39" s="4"/>
      <c r="K39" s="5"/>
      <c r="L39" s="17"/>
      <c r="M39" s="5"/>
      <c r="N39" s="5"/>
      <c r="O39" s="17"/>
    </row>
    <row r="40" spans="1:15" x14ac:dyDescent="0.25">
      <c r="A40">
        <v>49265</v>
      </c>
      <c r="B40">
        <v>276.47050000000002</v>
      </c>
      <c r="C40">
        <v>28.019100000000002</v>
      </c>
      <c r="D40">
        <v>28.350529999999999</v>
      </c>
      <c r="E40">
        <v>32</v>
      </c>
      <c r="F40">
        <v>7.0019999999999999E-2</v>
      </c>
      <c r="G40">
        <v>3.065E-2</v>
      </c>
      <c r="H40" t="s">
        <v>40</v>
      </c>
      <c r="I40" s="3" t="s">
        <v>60</v>
      </c>
      <c r="J40" s="4">
        <f>B40+B41</f>
        <v>535.62100000000009</v>
      </c>
      <c r="K40" s="5">
        <f>MAX(E40:E41)</f>
        <v>32</v>
      </c>
      <c r="L40" s="17">
        <f>AVERAGE(F40:G41)</f>
        <v>5.0227500000000001E-2</v>
      </c>
      <c r="M40" s="5">
        <v>1</v>
      </c>
      <c r="N40" s="6">
        <f t="shared" si="3"/>
        <v>497.10092308333344</v>
      </c>
      <c r="O40" s="17">
        <f t="shared" si="4"/>
        <v>6.0273E-2</v>
      </c>
    </row>
    <row r="41" spans="1:15" x14ac:dyDescent="0.25">
      <c r="A41">
        <v>49266</v>
      </c>
      <c r="B41">
        <v>259.15050000000002</v>
      </c>
      <c r="C41">
        <v>29.223330000000001</v>
      </c>
      <c r="D41">
        <v>29.571190000000001</v>
      </c>
      <c r="E41">
        <v>32</v>
      </c>
      <c r="F41">
        <v>6.9470000000000004E-2</v>
      </c>
      <c r="G41">
        <v>3.0769999999999999E-2</v>
      </c>
      <c r="H41" t="s">
        <v>39</v>
      </c>
      <c r="I41" s="3"/>
      <c r="J41" s="4"/>
      <c r="K41" s="5"/>
      <c r="L41" s="17"/>
      <c r="M41" s="5"/>
      <c r="N41" s="5"/>
      <c r="O41" s="17"/>
    </row>
    <row r="42" spans="1:15" x14ac:dyDescent="0.25">
      <c r="A42">
        <v>49267</v>
      </c>
      <c r="B42">
        <v>191.1695</v>
      </c>
      <c r="C42">
        <v>34.384239999999998</v>
      </c>
      <c r="D42">
        <v>34.800249999999998</v>
      </c>
      <c r="E42">
        <v>32</v>
      </c>
      <c r="F42">
        <v>0.10367</v>
      </c>
      <c r="G42">
        <v>7.8570000000000001E-2</v>
      </c>
      <c r="H42" t="s">
        <v>38</v>
      </c>
      <c r="I42" s="3" t="s">
        <v>61</v>
      </c>
      <c r="J42" s="4">
        <f>B42+B43</f>
        <v>473.91849999999999</v>
      </c>
      <c r="K42" s="5">
        <f>MAX(E42:E43)</f>
        <v>32</v>
      </c>
      <c r="L42" s="17">
        <f>AVERAGE(F42:G43)</f>
        <v>7.8062500000000007E-2</v>
      </c>
      <c r="M42" s="5">
        <v>1</v>
      </c>
      <c r="N42" s="6">
        <f t="shared" si="3"/>
        <v>439.83586120833331</v>
      </c>
      <c r="O42" s="17">
        <f t="shared" si="4"/>
        <v>9.3675000000000008E-2</v>
      </c>
    </row>
    <row r="43" spans="1:15" x14ac:dyDescent="0.25">
      <c r="A43">
        <v>49268</v>
      </c>
      <c r="B43">
        <v>282.74900000000002</v>
      </c>
      <c r="C43">
        <v>29.509869999999999</v>
      </c>
      <c r="D43">
        <v>29.70974</v>
      </c>
      <c r="E43">
        <v>32</v>
      </c>
      <c r="F43">
        <v>6.9070000000000006E-2</v>
      </c>
      <c r="G43">
        <v>6.0940000000000001E-2</v>
      </c>
      <c r="H43" t="s">
        <v>37</v>
      </c>
      <c r="I43" s="3"/>
      <c r="J43" s="4"/>
      <c r="K43" s="5"/>
      <c r="L43" s="17"/>
      <c r="M43" s="5"/>
      <c r="N43" s="5"/>
      <c r="O43" s="17"/>
    </row>
    <row r="44" spans="1:15" x14ac:dyDescent="0.25">
      <c r="A44">
        <v>49270</v>
      </c>
      <c r="B44">
        <v>277.98599999999999</v>
      </c>
      <c r="C44">
        <v>25.038329999999998</v>
      </c>
      <c r="D44">
        <v>25.25093</v>
      </c>
      <c r="E44">
        <v>32</v>
      </c>
      <c r="F44">
        <v>6.6229999999999997E-2</v>
      </c>
      <c r="G44">
        <v>2.0590000000000001E-2</v>
      </c>
      <c r="H44" t="s">
        <v>41</v>
      </c>
      <c r="I44" s="3" t="s">
        <v>62</v>
      </c>
      <c r="J44" s="4">
        <f>B44+B45</f>
        <v>468.50599999999997</v>
      </c>
      <c r="K44" s="5">
        <f>MAX(E44:E45)</f>
        <v>32</v>
      </c>
      <c r="L44" s="17">
        <f>AVERAGE(F44:G45)</f>
        <v>5.4579999999999997E-2</v>
      </c>
      <c r="M44" s="5">
        <v>1</v>
      </c>
      <c r="N44" s="6">
        <f t="shared" si="3"/>
        <v>434.81261016666667</v>
      </c>
      <c r="O44" s="17">
        <f t="shared" si="4"/>
        <v>6.5495999999999999E-2</v>
      </c>
    </row>
    <row r="45" spans="1:15" x14ac:dyDescent="0.25">
      <c r="A45">
        <v>49271</v>
      </c>
      <c r="B45">
        <v>190.52</v>
      </c>
      <c r="C45">
        <v>29.28051</v>
      </c>
      <c r="D45">
        <v>29.38185</v>
      </c>
      <c r="E45">
        <v>32</v>
      </c>
      <c r="F45">
        <v>6.8089999999999998E-2</v>
      </c>
      <c r="G45">
        <v>6.3409999999999994E-2</v>
      </c>
      <c r="H45" t="s">
        <v>42</v>
      </c>
      <c r="I45" s="3"/>
      <c r="J45" s="4"/>
      <c r="K45" s="5"/>
      <c r="L45" s="17"/>
      <c r="M45" s="5"/>
      <c r="N45" s="5"/>
      <c r="O45" s="17"/>
    </row>
    <row r="46" spans="1:15" x14ac:dyDescent="0.25">
      <c r="A46">
        <v>49902</v>
      </c>
      <c r="B46">
        <v>1.0825</v>
      </c>
      <c r="C46">
        <v>22.10727</v>
      </c>
      <c r="D46">
        <v>24.71236</v>
      </c>
      <c r="E46">
        <v>32</v>
      </c>
      <c r="F46">
        <v>0.4</v>
      </c>
      <c r="G46">
        <v>0</v>
      </c>
      <c r="H46" t="s">
        <v>32</v>
      </c>
      <c r="I46" s="3" t="s">
        <v>73</v>
      </c>
      <c r="J46" s="4">
        <f>B46+B47</f>
        <v>21.866499999999998</v>
      </c>
      <c r="K46" s="5">
        <f>MAX(E46:E47)</f>
        <v>32</v>
      </c>
      <c r="L46" s="17">
        <f>AVERAGE(F46:G47)</f>
        <v>0.20796500000000001</v>
      </c>
      <c r="M46" s="5">
        <v>1</v>
      </c>
      <c r="N46" s="6">
        <f t="shared" si="3"/>
        <v>20.293934208333333</v>
      </c>
      <c r="O46" s="17">
        <f t="shared" si="4"/>
        <v>0.249558</v>
      </c>
    </row>
    <row r="47" spans="1:15" x14ac:dyDescent="0.25">
      <c r="A47">
        <v>49892</v>
      </c>
      <c r="B47">
        <v>20.783999999999999</v>
      </c>
      <c r="C47">
        <v>25.935649999999999</v>
      </c>
      <c r="D47">
        <v>26.897469999999998</v>
      </c>
      <c r="E47">
        <v>32</v>
      </c>
      <c r="F47">
        <v>0.34615000000000001</v>
      </c>
      <c r="G47">
        <v>8.5709999999999995E-2</v>
      </c>
      <c r="H47" t="s">
        <v>31</v>
      </c>
      <c r="I47" s="3"/>
      <c r="J47" s="4"/>
      <c r="K47" s="5"/>
      <c r="L47" s="17"/>
      <c r="M47" s="5"/>
      <c r="N47" s="5"/>
      <c r="O47" s="17"/>
    </row>
    <row r="48" spans="1:15" x14ac:dyDescent="0.25">
      <c r="A48">
        <v>49899</v>
      </c>
      <c r="B48">
        <v>3.2475000000000001</v>
      </c>
      <c r="C48">
        <v>33.569200000000002</v>
      </c>
      <c r="D48">
        <v>33.857019999999999</v>
      </c>
      <c r="E48">
        <v>32</v>
      </c>
      <c r="F48">
        <v>0</v>
      </c>
      <c r="G48">
        <v>0</v>
      </c>
      <c r="H48" t="s">
        <v>33</v>
      </c>
      <c r="I48" s="3" t="s">
        <v>74</v>
      </c>
      <c r="J48" s="4">
        <f>B48+B49</f>
        <v>5.8454999999999995</v>
      </c>
      <c r="K48" s="5">
        <f>MAX(E48:E49)</f>
        <v>32</v>
      </c>
      <c r="L48" s="17">
        <f>AVERAGE(F48:G49)</f>
        <v>0</v>
      </c>
      <c r="M48" s="5">
        <v>1</v>
      </c>
      <c r="N48" s="6">
        <f t="shared" si="3"/>
        <v>5.4251111249999999</v>
      </c>
      <c r="O48" s="17">
        <f t="shared" si="4"/>
        <v>0</v>
      </c>
    </row>
    <row r="49" spans="1:16" x14ac:dyDescent="0.25">
      <c r="A49">
        <v>49903</v>
      </c>
      <c r="B49">
        <v>2.5979999999999999</v>
      </c>
      <c r="C49">
        <v>28.783750000000001</v>
      </c>
      <c r="D49">
        <v>-1</v>
      </c>
      <c r="E49">
        <v>32</v>
      </c>
      <c r="F49">
        <v>0</v>
      </c>
      <c r="G49">
        <v>0</v>
      </c>
      <c r="H49" t="s">
        <v>34</v>
      </c>
      <c r="I49" s="3"/>
      <c r="J49" s="4"/>
      <c r="K49" s="5"/>
      <c r="L49" s="5"/>
      <c r="M49" s="5"/>
      <c r="N49" s="5"/>
      <c r="O49" s="17"/>
    </row>
    <row r="50" spans="1:16" x14ac:dyDescent="0.25">
      <c r="A50">
        <v>300891</v>
      </c>
      <c r="B50">
        <v>1497.9635000000001</v>
      </c>
      <c r="C50">
        <v>54.471870000000003</v>
      </c>
      <c r="D50">
        <v>54.41854</v>
      </c>
      <c r="E50">
        <v>48</v>
      </c>
      <c r="F50">
        <v>2.368E-2</v>
      </c>
      <c r="G50">
        <v>1.4409999999999999E-2</v>
      </c>
      <c r="H50" t="s">
        <v>55</v>
      </c>
      <c r="I50" s="3" t="s">
        <v>55</v>
      </c>
      <c r="J50" s="4">
        <f t="shared" ref="J50:J53" si="5">B50</f>
        <v>1497.9635000000001</v>
      </c>
      <c r="K50" s="5">
        <f t="shared" ref="K50:K53" si="6">E50</f>
        <v>48</v>
      </c>
      <c r="L50" s="5">
        <f t="shared" ref="L50:L53" si="7">AVERAGE(F50:G50)</f>
        <v>1.9044999999999999E-2</v>
      </c>
      <c r="M50" s="5">
        <v>1</v>
      </c>
      <c r="N50" s="6">
        <f t="shared" ref="N50" si="8">AADT2AAWT(M50,J50)</f>
        <v>1390.2349582916668</v>
      </c>
      <c r="O50" s="17">
        <f t="shared" ref="O50" si="9">HGVWeekday(L50)</f>
        <v>2.2853999999999999E-2</v>
      </c>
    </row>
    <row r="51" spans="1:16" x14ac:dyDescent="0.25">
      <c r="A51">
        <v>300890</v>
      </c>
      <c r="B51">
        <v>1471.9835</v>
      </c>
      <c r="C51">
        <v>51.250950000000003</v>
      </c>
      <c r="D51">
        <v>52.020980000000002</v>
      </c>
      <c r="E51">
        <v>48</v>
      </c>
      <c r="F51">
        <v>1.3259999999999999E-2</v>
      </c>
      <c r="G51">
        <v>5.11E-3</v>
      </c>
      <c r="H51" t="s">
        <v>56</v>
      </c>
      <c r="I51" s="3" t="s">
        <v>56</v>
      </c>
      <c r="J51" s="4">
        <f t="shared" si="5"/>
        <v>1471.9835</v>
      </c>
      <c r="K51" s="5">
        <f t="shared" si="6"/>
        <v>48</v>
      </c>
      <c r="L51" s="5">
        <f t="shared" si="7"/>
        <v>9.1849999999999987E-3</v>
      </c>
      <c r="M51" s="5">
        <v>1</v>
      </c>
      <c r="N51" s="6">
        <f t="shared" ref="N51:N53" si="10">AADT2AAWT(M51,J51)</f>
        <v>1366.1233532916667</v>
      </c>
      <c r="O51" s="17">
        <f t="shared" ref="O51:O53" si="11">HGVWeekday(L51)</f>
        <v>1.1021999999999999E-2</v>
      </c>
      <c r="P51" t="s">
        <v>81</v>
      </c>
    </row>
    <row r="52" spans="1:16" x14ac:dyDescent="0.25">
      <c r="A52">
        <v>300895</v>
      </c>
      <c r="B52">
        <v>2752.7975000000001</v>
      </c>
      <c r="C52">
        <v>50.86694</v>
      </c>
      <c r="D52">
        <v>50.059939999999997</v>
      </c>
      <c r="E52">
        <v>48</v>
      </c>
      <c r="F52">
        <v>1.9310000000000001E-2</v>
      </c>
      <c r="G52">
        <v>1.3140000000000001E-2</v>
      </c>
      <c r="H52" t="s">
        <v>57</v>
      </c>
      <c r="I52" s="3" t="s">
        <v>57</v>
      </c>
      <c r="J52" s="4">
        <f t="shared" si="5"/>
        <v>2752.7975000000001</v>
      </c>
      <c r="K52" s="5">
        <f t="shared" si="6"/>
        <v>48</v>
      </c>
      <c r="L52" s="5">
        <f t="shared" si="7"/>
        <v>1.6225E-2</v>
      </c>
      <c r="M52" s="5">
        <v>3</v>
      </c>
      <c r="N52" s="6">
        <f t="shared" si="10"/>
        <v>2565.6990299166669</v>
      </c>
      <c r="O52" s="17">
        <f t="shared" si="11"/>
        <v>1.9469999999999998E-2</v>
      </c>
    </row>
    <row r="53" spans="1:16" x14ac:dyDescent="0.25">
      <c r="A53">
        <v>300894</v>
      </c>
      <c r="B53">
        <v>3605.1579999999999</v>
      </c>
      <c r="C53">
        <v>49.91375</v>
      </c>
      <c r="D53">
        <v>50.560589999999998</v>
      </c>
      <c r="E53">
        <v>48</v>
      </c>
      <c r="F53">
        <v>5.5100000000000001E-3</v>
      </c>
      <c r="G53">
        <v>3.3700000000000002E-3</v>
      </c>
      <c r="H53" t="s">
        <v>58</v>
      </c>
      <c r="I53" s="3" t="s">
        <v>58</v>
      </c>
      <c r="J53" s="4">
        <f t="shared" si="5"/>
        <v>3605.1579999999999</v>
      </c>
      <c r="K53" s="5">
        <f t="shared" si="6"/>
        <v>48</v>
      </c>
      <c r="L53" s="5">
        <f t="shared" si="7"/>
        <v>4.4400000000000004E-3</v>
      </c>
      <c r="M53" s="5">
        <v>3</v>
      </c>
      <c r="N53" s="6">
        <f t="shared" si="10"/>
        <v>3360.1274279333329</v>
      </c>
      <c r="O53" s="17">
        <f t="shared" si="11"/>
        <v>5.3280000000000003E-3</v>
      </c>
    </row>
    <row r="54" spans="1:16" x14ac:dyDescent="0.25">
      <c r="I54" s="3" t="s">
        <v>83</v>
      </c>
      <c r="J54" s="13">
        <f>SUM(J52:J53)</f>
        <v>6357.9555</v>
      </c>
      <c r="K54" s="8">
        <f>MAX(K52:K53)</f>
        <v>48</v>
      </c>
      <c r="L54"/>
      <c r="M54"/>
      <c r="N54" s="20">
        <f>N52+N53</f>
        <v>5925.8264578500002</v>
      </c>
      <c r="O54" s="15"/>
    </row>
    <row r="55" spans="1:16" x14ac:dyDescent="0.25">
      <c r="I55" s="3" t="s">
        <v>82</v>
      </c>
      <c r="K55" s="8">
        <f>K50</f>
        <v>48</v>
      </c>
      <c r="L55" s="3">
        <f>L50</f>
        <v>1.9044999999999999E-2</v>
      </c>
      <c r="M55" s="3">
        <f>M50</f>
        <v>1</v>
      </c>
      <c r="N55" s="4">
        <f>N50</f>
        <v>1390.2349582916668</v>
      </c>
      <c r="O55" s="17">
        <f>O50</f>
        <v>2.2853999999999999E-2</v>
      </c>
    </row>
    <row r="56" spans="1:16" x14ac:dyDescent="0.25">
      <c r="I56" s="3" t="s">
        <v>84</v>
      </c>
      <c r="K56" s="10">
        <f>K51</f>
        <v>48</v>
      </c>
      <c r="L56"/>
      <c r="M56"/>
      <c r="N56" s="13">
        <f>N50+N55+N51</f>
        <v>4146.5932698750003</v>
      </c>
      <c r="O56" s="15"/>
    </row>
    <row r="57" spans="1:16" x14ac:dyDescent="0.25">
      <c r="I57" s="3" t="s">
        <v>85</v>
      </c>
      <c r="K57" s="7">
        <f>K51</f>
        <v>48</v>
      </c>
      <c r="N57" s="19">
        <f>N51</f>
        <v>1366.1233532916667</v>
      </c>
      <c r="O57" s="18">
        <f>O51</f>
        <v>1.1021999999999999E-2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65A1-6E92-4028-AE3A-C0FBF8DDAA60}">
  <sheetPr codeName="Sheet9"/>
  <dimension ref="B1:G4"/>
  <sheetViews>
    <sheetView workbookViewId="0">
      <selection activeCell="R30" sqref="R30"/>
    </sheetView>
  </sheetViews>
  <sheetFormatPr defaultRowHeight="15" x14ac:dyDescent="0.25"/>
  <cols>
    <col min="3" max="3" width="12.5703125" bestFit="1" customWidth="1"/>
  </cols>
  <sheetData>
    <row r="1" spans="2:7" x14ac:dyDescent="0.25">
      <c r="B1" t="s">
        <v>86</v>
      </c>
    </row>
    <row r="2" spans="2:7" x14ac:dyDescent="0.25">
      <c r="B2" t="s">
        <v>87</v>
      </c>
      <c r="D2" t="s">
        <v>95</v>
      </c>
      <c r="E2" t="s">
        <v>98</v>
      </c>
      <c r="F2" t="s">
        <v>96</v>
      </c>
      <c r="G2" t="s">
        <v>97</v>
      </c>
    </row>
    <row r="3" spans="2:7" x14ac:dyDescent="0.25">
      <c r="B3">
        <v>1</v>
      </c>
      <c r="C3" t="s">
        <v>88</v>
      </c>
      <c r="D3" s="13">
        <f>'Prevailing 2015'!N16</f>
        <v>2467.7876901999998</v>
      </c>
      <c r="E3" s="13">
        <f>'DM 2030'!N16</f>
        <v>2872.6963416666667</v>
      </c>
      <c r="F3" s="13">
        <f>'DS 2016'!Q16</f>
        <v>69.396846323529402</v>
      </c>
      <c r="G3" s="13">
        <f>'DS 2030'!N16</f>
        <v>82.582247124999981</v>
      </c>
    </row>
    <row r="4" spans="2:7" x14ac:dyDescent="0.25">
      <c r="C4" t="s">
        <v>67</v>
      </c>
      <c r="D4" s="13">
        <f>'Prevailing 2015'!N12</f>
        <v>977.43035944166684</v>
      </c>
      <c r="E4" s="13">
        <f>'DM 2030'!N12</f>
        <v>1269.673685</v>
      </c>
      <c r="F4" s="13">
        <f>'DS 2016'!Q12</f>
        <v>91.17833823529412</v>
      </c>
      <c r="G4" s="13">
        <f>'DS 2030'!N12</f>
        <v>108.5022225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9A007-180C-4018-95E7-9753AE66D4C6}">
  <sheetPr codeName="Sheet10">
    <tabColor theme="8"/>
  </sheetPr>
  <dimension ref="I3:K30"/>
  <sheetViews>
    <sheetView workbookViewId="0">
      <selection activeCell="K4" sqref="K4:K30"/>
    </sheetView>
  </sheetViews>
  <sheetFormatPr defaultRowHeight="15" x14ac:dyDescent="0.25"/>
  <sheetData>
    <row r="3" spans="9:11" x14ac:dyDescent="0.25">
      <c r="I3" t="s">
        <v>102</v>
      </c>
    </row>
    <row r="4" spans="9:11" x14ac:dyDescent="0.25">
      <c r="I4" s="15">
        <v>8.677E-2</v>
      </c>
      <c r="J4" s="15">
        <v>7.7225000000000002E-2</v>
      </c>
      <c r="K4" s="15">
        <v>7.7859999999999999E-2</v>
      </c>
    </row>
    <row r="5" spans="9:11" x14ac:dyDescent="0.25">
      <c r="I5" s="15">
        <v>7.7725000000000002E-2</v>
      </c>
      <c r="J5" s="15">
        <v>7.0050000000000001E-2</v>
      </c>
      <c r="K5" s="15">
        <v>6.2330000000000003E-2</v>
      </c>
    </row>
    <row r="6" spans="9:11" x14ac:dyDescent="0.25">
      <c r="I6" s="15">
        <v>7.782E-2</v>
      </c>
      <c r="J6" s="15">
        <v>6.9890000000000008E-2</v>
      </c>
      <c r="K6" s="15">
        <v>6.0234999999999997E-2</v>
      </c>
    </row>
    <row r="7" spans="9:11" x14ac:dyDescent="0.25">
      <c r="I7" s="15">
        <v>8.5355E-2</v>
      </c>
      <c r="J7" s="15">
        <v>7.6835000000000001E-2</v>
      </c>
      <c r="K7" s="15">
        <v>7.8125E-2</v>
      </c>
    </row>
    <row r="8" spans="9:11" x14ac:dyDescent="0.25">
      <c r="I8" s="15">
        <v>8.2970000000000002E-2</v>
      </c>
      <c r="J8" s="15">
        <v>7.51E-2</v>
      </c>
      <c r="K8" s="15">
        <v>7.8215000000000007E-2</v>
      </c>
    </row>
    <row r="9" spans="9:11" x14ac:dyDescent="0.25">
      <c r="I9" s="15">
        <v>7.5149999999999995E-2</v>
      </c>
      <c r="J9" s="15">
        <v>6.7140000000000005E-2</v>
      </c>
      <c r="K9" s="15">
        <v>6.0155E-2</v>
      </c>
    </row>
    <row r="10" spans="9:11" x14ac:dyDescent="0.25">
      <c r="I10" s="15">
        <v>0.1933175</v>
      </c>
      <c r="J10" s="15">
        <v>0.10710499999999999</v>
      </c>
      <c r="K10" s="15">
        <v>6.5805000000000002E-2</v>
      </c>
    </row>
    <row r="11" spans="9:11" x14ac:dyDescent="0.25">
      <c r="I11" s="15">
        <v>0.108525</v>
      </c>
      <c r="J11" s="15">
        <v>5.5484999999999993E-2</v>
      </c>
      <c r="K11" s="15">
        <v>6.5617499999999995E-2</v>
      </c>
    </row>
    <row r="12" spans="9:11" x14ac:dyDescent="0.25">
      <c r="I12" s="15">
        <v>5.3970000000000004E-2</v>
      </c>
      <c r="J12" s="15">
        <v>3.8982499999999996E-2</v>
      </c>
      <c r="K12" s="15">
        <v>0.1923425</v>
      </c>
    </row>
    <row r="13" spans="9:11" x14ac:dyDescent="0.25">
      <c r="I13" s="15">
        <v>3.9675000000000002E-2</v>
      </c>
      <c r="J13" s="15">
        <v>3.653E-2</v>
      </c>
      <c r="K13" s="15">
        <v>5.67275E-2</v>
      </c>
    </row>
    <row r="14" spans="9:11" x14ac:dyDescent="0.25">
      <c r="I14" s="15">
        <v>3.3345E-2</v>
      </c>
      <c r="J14" s="15">
        <v>1.9262500000000002E-2</v>
      </c>
      <c r="K14" s="15">
        <v>4.2477500000000001E-2</v>
      </c>
    </row>
    <row r="15" spans="9:11" x14ac:dyDescent="0.25">
      <c r="I15" s="15">
        <v>3.2452500000000002E-2</v>
      </c>
      <c r="J15" s="15">
        <v>2.3590000000000003E-2</v>
      </c>
      <c r="K15" s="15">
        <v>6.7615000000000008E-2</v>
      </c>
    </row>
    <row r="16" spans="9:11" x14ac:dyDescent="0.25">
      <c r="I16" s="15">
        <v>2.6127500000000001E-2</v>
      </c>
      <c r="J16" s="15">
        <v>2.46625E-2</v>
      </c>
      <c r="K16" s="15">
        <v>4.5647500000000001E-2</v>
      </c>
    </row>
    <row r="17" spans="9:11" x14ac:dyDescent="0.25">
      <c r="I17" s="15">
        <v>2.5807500000000001E-2</v>
      </c>
      <c r="J17" s="15">
        <v>2.452E-2</v>
      </c>
      <c r="K17" s="15">
        <v>4.5325000000000004E-2</v>
      </c>
    </row>
    <row r="18" spans="9:11" x14ac:dyDescent="0.25">
      <c r="I18" s="15">
        <v>2.57475E-2</v>
      </c>
      <c r="J18" s="15">
        <v>2.4375000000000001E-2</v>
      </c>
      <c r="K18" s="15">
        <v>1.7155E-2</v>
      </c>
    </row>
    <row r="19" spans="9:11" x14ac:dyDescent="0.25">
      <c r="I19" s="15">
        <v>0.12937000000000001</v>
      </c>
      <c r="J19" s="15">
        <v>0.1140475</v>
      </c>
      <c r="K19" s="15">
        <v>8.2265000000000005E-2</v>
      </c>
    </row>
    <row r="20" spans="9:11" x14ac:dyDescent="0.25">
      <c r="I20" s="15">
        <v>3.6082499999999997E-2</v>
      </c>
      <c r="J20" s="15">
        <v>3.1055000000000003E-2</v>
      </c>
      <c r="K20" s="15">
        <v>3.0404999999999998E-2</v>
      </c>
    </row>
    <row r="21" spans="9:11" x14ac:dyDescent="0.25">
      <c r="I21" s="15">
        <v>0.11468250000000001</v>
      </c>
      <c r="J21" s="15">
        <v>0.1032925</v>
      </c>
      <c r="K21" s="15">
        <v>9.2072500000000002E-2</v>
      </c>
    </row>
    <row r="22" spans="9:11" x14ac:dyDescent="0.25">
      <c r="I22" s="15">
        <v>7.443000000000001E-2</v>
      </c>
      <c r="J22" s="15">
        <v>5.9075000000000003E-2</v>
      </c>
      <c r="K22" s="15">
        <v>6.4247499999999999E-2</v>
      </c>
    </row>
    <row r="23" spans="9:11" x14ac:dyDescent="0.25">
      <c r="I23" s="15">
        <v>8.7217500000000003E-2</v>
      </c>
      <c r="J23" s="15">
        <v>6.0230000000000006E-2</v>
      </c>
      <c r="K23" s="15">
        <v>6.8064999999999987E-2</v>
      </c>
    </row>
    <row r="24" spans="9:11" x14ac:dyDescent="0.25">
      <c r="I24" s="15">
        <v>9.0702499999999991E-2</v>
      </c>
      <c r="J24" s="15">
        <v>6.2772499999999995E-2</v>
      </c>
      <c r="K24" s="15">
        <v>7.1167499999999995E-2</v>
      </c>
    </row>
    <row r="25" spans="9:11" x14ac:dyDescent="0.25">
      <c r="I25" s="15">
        <v>2.1729999999999999E-2</v>
      </c>
      <c r="J25" s="15">
        <v>2.9175E-3</v>
      </c>
      <c r="K25" s="15">
        <v>0</v>
      </c>
    </row>
    <row r="26" spans="9:11" x14ac:dyDescent="0.25">
      <c r="I26" s="15">
        <v>7.8039999999999998E-2</v>
      </c>
      <c r="J26" s="15">
        <v>5.3502499999999995E-2</v>
      </c>
      <c r="K26" s="15">
        <v>5.0227500000000001E-2</v>
      </c>
    </row>
    <row r="27" spans="9:11" x14ac:dyDescent="0.25">
      <c r="I27" s="15">
        <v>9.3702499999999994E-2</v>
      </c>
      <c r="J27" s="15">
        <v>6.7012499999999989E-2</v>
      </c>
      <c r="K27" s="15">
        <v>7.8062500000000007E-2</v>
      </c>
    </row>
    <row r="28" spans="9:11" x14ac:dyDescent="0.25">
      <c r="I28" s="15">
        <v>7.27275E-2</v>
      </c>
      <c r="J28" s="15">
        <v>5.4974999999999996E-2</v>
      </c>
      <c r="K28" s="15">
        <v>5.4579999999999997E-2</v>
      </c>
    </row>
    <row r="29" spans="9:11" x14ac:dyDescent="0.25">
      <c r="I29" s="15">
        <v>0.19556250000000003</v>
      </c>
      <c r="J29" s="15">
        <v>0.11518500000000001</v>
      </c>
      <c r="K29" s="15">
        <v>0.20796500000000001</v>
      </c>
    </row>
    <row r="30" spans="9:11" x14ac:dyDescent="0.25">
      <c r="I30" s="15">
        <v>0</v>
      </c>
      <c r="J30" s="15">
        <v>0</v>
      </c>
      <c r="K30" s="1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baseline AADT 2016</vt:lpstr>
      <vt:lpstr>DM AADT 2030</vt:lpstr>
      <vt:lpstr>DS AADT 2030</vt:lpstr>
      <vt:lpstr>Prevailing 2015</vt:lpstr>
      <vt:lpstr>DM 2016</vt:lpstr>
      <vt:lpstr>DS 2016</vt:lpstr>
      <vt:lpstr>DM 2030</vt:lpstr>
      <vt:lpstr>DS 2030</vt:lpstr>
      <vt:lpstr>Unusual 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2017-11-02T11:35:57Z</dcterms:modified>
</cp:coreProperties>
</file>